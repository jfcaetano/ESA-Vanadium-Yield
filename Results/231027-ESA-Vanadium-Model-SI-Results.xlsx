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caetano/Desktop/"/>
    </mc:Choice>
  </mc:AlternateContent>
  <xr:revisionPtr revIDLastSave="0" documentId="13_ncr:1_{A796F857-F4A7-F748-B1B3-F3D2A2CE3827}" xr6:coauthVersionLast="47" xr6:coauthVersionMax="47" xr10:uidLastSave="{00000000-0000-0000-0000-000000000000}"/>
  <bookViews>
    <workbookView xWindow="0" yWindow="460" windowWidth="25600" windowHeight="14440" activeTab="3" xr2:uid="{00000000-000D-0000-FFFF-FFFF00000000}"/>
  </bookViews>
  <sheets>
    <sheet name="Final Statistics" sheetId="10" r:id="rId1"/>
    <sheet name="Training Load" sheetId="11" r:id="rId2"/>
    <sheet name="Permutation Importance" sheetId="12" r:id="rId3"/>
    <sheet name="Descriptor Performance Real" sheetId="2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21" l="1"/>
  <c r="J28" i="21"/>
</calcChain>
</file>

<file path=xl/sharedStrings.xml><?xml version="1.0" encoding="utf-8"?>
<sst xmlns="http://schemas.openxmlformats.org/spreadsheetml/2006/main" count="1002" uniqueCount="489">
  <si>
    <t>Algorithm</t>
  </si>
  <si>
    <t>Score_test</t>
  </si>
  <si>
    <t>Score_train</t>
  </si>
  <si>
    <t>R2</t>
  </si>
  <si>
    <t>RandomForestRegressor(random_state=47)</t>
  </si>
  <si>
    <t>GradientBoostingRegressor(random_state=47)</t>
  </si>
  <si>
    <t>AARD / %</t>
  </si>
  <si>
    <t>Legend</t>
  </si>
  <si>
    <t>Value</t>
  </si>
  <si>
    <t>GB</t>
  </si>
  <si>
    <t>Error</t>
  </si>
  <si>
    <t>RF</t>
  </si>
  <si>
    <t>SVM</t>
  </si>
  <si>
    <t>MAE / %</t>
  </si>
  <si>
    <t>MPE / %</t>
  </si>
  <si>
    <t>RMSE / %</t>
  </si>
  <si>
    <t>MLP</t>
  </si>
  <si>
    <t>STD / %</t>
  </si>
  <si>
    <t>Load</t>
  </si>
  <si>
    <t>Train:Test</t>
  </si>
  <si>
    <t>60/40</t>
  </si>
  <si>
    <t>Variable Importance (n_repeats=10)</t>
  </si>
  <si>
    <t>Variable</t>
  </si>
  <si>
    <t>Gini</t>
  </si>
  <si>
    <t>%Gini</t>
  </si>
  <si>
    <t>PI(mean)</t>
  </si>
  <si>
    <t>PI(std)</t>
  </si>
  <si>
    <t>%PI(mean)</t>
  </si>
  <si>
    <t>Ligand_quant_mmol</t>
  </si>
  <si>
    <t>Oxidant_quant_mmol</t>
  </si>
  <si>
    <t>Time_h</t>
  </si>
  <si>
    <t>EState_VSA7_Lig</t>
  </si>
  <si>
    <t>BalabanJ_Sub</t>
  </si>
  <si>
    <t>PEOE_VSA9_Sub</t>
  </si>
  <si>
    <t>Chi3v_Sub</t>
  </si>
  <si>
    <t>MaxAbsPartialCharge_Lig</t>
  </si>
  <si>
    <t>Chi0v_Sub</t>
  </si>
  <si>
    <t>EState_VSA2_Lig</t>
  </si>
  <si>
    <t>EState_VSA4_Sub</t>
  </si>
  <si>
    <t>PEOE_VSA7_Lig</t>
  </si>
  <si>
    <t>Kappa3_Lig</t>
  </si>
  <si>
    <t>MaxAbsPartialCharge_Sub</t>
  </si>
  <si>
    <t>MinEStateIndex_Sub</t>
  </si>
  <si>
    <t>MolMR_Sol</t>
  </si>
  <si>
    <t>Catalyst_quant_mmol</t>
  </si>
  <si>
    <t>PEOE_VSA6_Lig</t>
  </si>
  <si>
    <t>SMR_VSA7_Lig</t>
  </si>
  <si>
    <t>Solution_vol_mL</t>
  </si>
  <si>
    <t>MinPartialCharge_Lig</t>
  </si>
  <si>
    <t>SlogP_VSA2_Lig</t>
  </si>
  <si>
    <t>SMR_VSA1_Cat</t>
  </si>
  <si>
    <t>Kappa1_Sub</t>
  </si>
  <si>
    <t>HeavyAtomMolWt_Sol</t>
  </si>
  <si>
    <t>VSA_EState4_Sub</t>
  </si>
  <si>
    <t>VSA_EState7_Sub</t>
  </si>
  <si>
    <t>MinPartialCharge_Sub</t>
  </si>
  <si>
    <t>Chi1_Cat</t>
  </si>
  <si>
    <t>MinAbsEStateIndex_Lig</t>
  </si>
  <si>
    <t>Chi0v_Lig</t>
  </si>
  <si>
    <t>MolWt_Sol</t>
  </si>
  <si>
    <t>MolMR_Sub</t>
  </si>
  <si>
    <t>Kappa3_Sub</t>
  </si>
  <si>
    <t>VSA_EState6_Sub</t>
  </si>
  <si>
    <t>VSA_EState3_Sub</t>
  </si>
  <si>
    <t>SlogP_VSA6_Lig</t>
  </si>
  <si>
    <t>SMR_VSA5_Lig</t>
  </si>
  <si>
    <t>Chi0n_Sub</t>
  </si>
  <si>
    <t>Chi1n_Lig</t>
  </si>
  <si>
    <t>SlogP_VSA11_Cat</t>
  </si>
  <si>
    <t>Kappa2_Lig</t>
  </si>
  <si>
    <t>Solv_diele_cst</t>
  </si>
  <si>
    <t>TPSA_Cat</t>
  </si>
  <si>
    <t>EState_VSA4_Lig</t>
  </si>
  <si>
    <t>SlogP_VSA8_Sub</t>
  </si>
  <si>
    <t>Group</t>
  </si>
  <si>
    <t>HallKierAlpha_Sub</t>
  </si>
  <si>
    <t>NumHAcceptors_Cat</t>
  </si>
  <si>
    <t>EState_VSA5_Lig</t>
  </si>
  <si>
    <t>VSA_EState1_Lig</t>
  </si>
  <si>
    <t>MinAbsEStateIndex_Cat</t>
  </si>
  <si>
    <t>MinAbsPartialCharge_Lig</t>
  </si>
  <si>
    <t>PEOE_VSA2_Lig</t>
  </si>
  <si>
    <t>NumRotatableBonds_Sub</t>
  </si>
  <si>
    <t>Chi1n_Cat</t>
  </si>
  <si>
    <t>NumHeteroatoms_Sol</t>
  </si>
  <si>
    <t>EState_VSA8_Lig</t>
  </si>
  <si>
    <t>Chi3v_Lig</t>
  </si>
  <si>
    <t>Chi0v_Cat</t>
  </si>
  <si>
    <t>Solv_opt_freq25</t>
  </si>
  <si>
    <t>PEOE_VSA1_Sub</t>
  </si>
  <si>
    <t>Chi4n_Lig</t>
  </si>
  <si>
    <t>NumAliphaticHeterocycles_Cat</t>
  </si>
  <si>
    <t>BertzCT_Lig</t>
  </si>
  <si>
    <t>HeavyAtomMolWt_Sub</t>
  </si>
  <si>
    <t>Solv_Hbond_bs</t>
  </si>
  <si>
    <t>PEOE_VSA12_Lig</t>
  </si>
  <si>
    <t>SMR_VSA6_Cat</t>
  </si>
  <si>
    <t>Chi3v_Cat</t>
  </si>
  <si>
    <t>Substrate_quant_mmol</t>
  </si>
  <si>
    <t>SMR_VSA5_Cat</t>
  </si>
  <si>
    <t>VSA_EState8_Cat</t>
  </si>
  <si>
    <t>NumValenceElectrons_Cat</t>
  </si>
  <si>
    <t>Chi3n_Sol</t>
  </si>
  <si>
    <t>EState_VSA3_Lig</t>
  </si>
  <si>
    <t>Kappa2_Sol</t>
  </si>
  <si>
    <t>MinAbsEStateIndex_Sol</t>
  </si>
  <si>
    <t>SlogP_VSA2_Cat</t>
  </si>
  <si>
    <t>MolMR_Cat</t>
  </si>
  <si>
    <t>Chi2n_Sub</t>
  </si>
  <si>
    <t>Chi1_Lig</t>
  </si>
  <si>
    <t>PEOE_VSA7_Sol</t>
  </si>
  <si>
    <t>Chi2n_Sol</t>
  </si>
  <si>
    <t>EState_VSA10_Sub</t>
  </si>
  <si>
    <t>Chi2v_Sub</t>
  </si>
  <si>
    <t>BertzCT_Sol</t>
  </si>
  <si>
    <t>EState_VSA6_Sub</t>
  </si>
  <si>
    <t>Chi4v_Cat</t>
  </si>
  <si>
    <t>VSA_EState9_Cat</t>
  </si>
  <si>
    <t>HeavyAtomMolWt_Cat</t>
  </si>
  <si>
    <t>NHOHCount_Sol</t>
  </si>
  <si>
    <t>HallKierAlpha_Cat</t>
  </si>
  <si>
    <t>Chi0n_Lig</t>
  </si>
  <si>
    <t>PEOE_VSA5_Lig</t>
  </si>
  <si>
    <t>Chi2v_Lig</t>
  </si>
  <si>
    <t>SlogP_VSA3_Lig</t>
  </si>
  <si>
    <t>Chi1v_Lig</t>
  </si>
  <si>
    <t>NumAromaticCarbocycles_Sol</t>
  </si>
  <si>
    <t>EState_VSA9_Sub</t>
  </si>
  <si>
    <t>NumAromaticRings_Lig</t>
  </si>
  <si>
    <t>SlogP_VSA6_Cat</t>
  </si>
  <si>
    <t>VSA_EState7_Cat</t>
  </si>
  <si>
    <t>Solv_aromcity</t>
  </si>
  <si>
    <t>EState_VSA3_Sub</t>
  </si>
  <si>
    <t>NumAliphaticRings_Cat</t>
  </si>
  <si>
    <t>SlogP_VSA8_Lig</t>
  </si>
  <si>
    <t>MaxEStateIndex_Cat</t>
  </si>
  <si>
    <t>VSA_EState6_Cat</t>
  </si>
  <si>
    <t>SMR_VSA10_Sol</t>
  </si>
  <si>
    <t>PEOE_VSA10_Sub</t>
  </si>
  <si>
    <t>VSA_EState3_Sol</t>
  </si>
  <si>
    <t>VSA_EState4_Sol</t>
  </si>
  <si>
    <t>VSA_EState1_Cat</t>
  </si>
  <si>
    <t>Solv_Hbond_ac</t>
  </si>
  <si>
    <t>NumAliphaticRings_Lig</t>
  </si>
  <si>
    <t>HeavyAtomCount_Lig</t>
  </si>
  <si>
    <t>EState_VSA4_Cat</t>
  </si>
  <si>
    <t>BalabanJ_Lig</t>
  </si>
  <si>
    <t>Chi4v_Lig</t>
  </si>
  <si>
    <t>Chi4n_Sol</t>
  </si>
  <si>
    <t>SMR_VSA3_Lig</t>
  </si>
  <si>
    <t>SlogP_VSA1_Lig</t>
  </si>
  <si>
    <t>SlogP_VSA12_Sol</t>
  </si>
  <si>
    <t>VSA_EState5_Cat</t>
  </si>
  <si>
    <t>Cat_Group</t>
  </si>
  <si>
    <t>EState_VSA1_Sub</t>
  </si>
  <si>
    <t>EState_VSA5_Sol</t>
  </si>
  <si>
    <t>PEOE_VSA1_Sol</t>
  </si>
  <si>
    <t>Chi2n_Lig</t>
  </si>
  <si>
    <t>SMR_VSA9_Cat</t>
  </si>
  <si>
    <t>NOCount_Cat</t>
  </si>
  <si>
    <t>Kappa1_Sol</t>
  </si>
  <si>
    <t>VSA_EState1_Sub</t>
  </si>
  <si>
    <t>SMR_VSA7_Cat</t>
  </si>
  <si>
    <t>Chi0_Cat</t>
  </si>
  <si>
    <t>Chi2v_Cat</t>
  </si>
  <si>
    <t>VSA_EState9_Lig</t>
  </si>
  <si>
    <t>BalabanJ_Sol</t>
  </si>
  <si>
    <t>Chi4n_Cat</t>
  </si>
  <si>
    <t>TPSA_Sub</t>
  </si>
  <si>
    <t>NumRotatableBonds_Lig</t>
  </si>
  <si>
    <t>VSA_EState5_Lig</t>
  </si>
  <si>
    <t>SMR_VSA7_Sol</t>
  </si>
  <si>
    <t>MolMR_Lig</t>
  </si>
  <si>
    <t>VSA_EState5_Sub</t>
  </si>
  <si>
    <t>PEOE_VSA10_Lig</t>
  </si>
  <si>
    <t>NumHAcceptors_Sol</t>
  </si>
  <si>
    <t>VSA_EState10_Sol</t>
  </si>
  <si>
    <t>PEOE_VSA3_Sub</t>
  </si>
  <si>
    <t>MaxAbsEStateIndex_Lig</t>
  </si>
  <si>
    <t>SMR_VSA1_Sub</t>
  </si>
  <si>
    <t>EState_VSA8_Cat</t>
  </si>
  <si>
    <t>NumAromaticHeterocycles_Lig</t>
  </si>
  <si>
    <t>SMR_VSA9_Lig</t>
  </si>
  <si>
    <t>EState_VSA6_Cat</t>
  </si>
  <si>
    <t>EState_VSA6_Sol</t>
  </si>
  <si>
    <t>PEOE_VSA4_Lig</t>
  </si>
  <si>
    <t>Solv_elect_halo</t>
  </si>
  <si>
    <t>PEOE_VSA14_Cat</t>
  </si>
  <si>
    <t>EState_VSA4_Sol</t>
  </si>
  <si>
    <t>NumAliphaticRings_Sub</t>
  </si>
  <si>
    <t>PEOE_VSA4_Sol</t>
  </si>
  <si>
    <t>Solv_opt_freq20</t>
  </si>
  <si>
    <t>SlogP_VSA1_Sub</t>
  </si>
  <si>
    <t>EState_VSA2_Sub</t>
  </si>
  <si>
    <t>NOCount_Sub</t>
  </si>
  <si>
    <t>SMR_VSA4_Sub</t>
  </si>
  <si>
    <t>MaxAbsEStateIndex_Sol</t>
  </si>
  <si>
    <t>NumSaturatedCarbocycles_Lig</t>
  </si>
  <si>
    <t>PEOE_VSA5_Sub</t>
  </si>
  <si>
    <t>NHOHCount_Lig</t>
  </si>
  <si>
    <t>EState_VSA11_Lig</t>
  </si>
  <si>
    <t>VSA_EState1_Sol</t>
  </si>
  <si>
    <t>VSA_EState7_Sol</t>
  </si>
  <si>
    <t>VSA_EState10_Lig</t>
  </si>
  <si>
    <t>PEOE_VSA11_Sol</t>
  </si>
  <si>
    <t>Additive_quant_mL</t>
  </si>
  <si>
    <t>EState_VSA1_Sol</t>
  </si>
  <si>
    <t>EState_VSA10_Sol</t>
  </si>
  <si>
    <t>EState_VSA11_Cat</t>
  </si>
  <si>
    <t>EState_VSA11_Sub</t>
  </si>
  <si>
    <t>EState_VSA11_Sol</t>
  </si>
  <si>
    <t>EState_VSA3_Sol</t>
  </si>
  <si>
    <t>EState_VSA5_Cat</t>
  </si>
  <si>
    <t>EState_VSA7_Cat</t>
  </si>
  <si>
    <t>MaxAbsPartialCharge_Cat</t>
  </si>
  <si>
    <t>MaxPartialCharge_Cat</t>
  </si>
  <si>
    <t>MinAbsPartialCharge_Cat</t>
  </si>
  <si>
    <t>MinPartialCharge_Cat</t>
  </si>
  <si>
    <t>NumAliphaticCarbocycles_Cat</t>
  </si>
  <si>
    <t>NumAliphaticCarbocycles_Sol</t>
  </si>
  <si>
    <t>NumAliphaticHeterocycles_Sub</t>
  </si>
  <si>
    <t>NumAliphaticHeterocycles_Sol</t>
  </si>
  <si>
    <t>NumAromaticCarbocycles_Cat</t>
  </si>
  <si>
    <t>NumAromaticHeterocycles_Cat</t>
  </si>
  <si>
    <t>NumAromaticHeterocycles_Sub</t>
  </si>
  <si>
    <t>NumAromaticHeterocycles_Sol</t>
  </si>
  <si>
    <t>NumHDonors_Sol</t>
  </si>
  <si>
    <t>NumRadicalElectrons_Cat</t>
  </si>
  <si>
    <t>NumRadicalElectrons_Sub</t>
  </si>
  <si>
    <t>NumRadicalElectrons_Sol</t>
  </si>
  <si>
    <t>NumRadicalElectrons_Lig</t>
  </si>
  <si>
    <t>NumRotatableBonds_Sol</t>
  </si>
  <si>
    <t>NumSaturatedCarbocycles_Cat</t>
  </si>
  <si>
    <t>NumSaturatedCarbocycles_Sub</t>
  </si>
  <si>
    <t>NumSaturatedCarbocycles_Sol</t>
  </si>
  <si>
    <t>NumSaturatedHeterocycles_Cat</t>
  </si>
  <si>
    <t>NumSaturatedHeterocycles_Sub</t>
  </si>
  <si>
    <t>NumSaturatedHeterocycles_Sol</t>
  </si>
  <si>
    <t>NumSaturatedHeterocycles_Lig</t>
  </si>
  <si>
    <t>NumSaturatedRings_Cat</t>
  </si>
  <si>
    <t>NumSaturatedRings_Sub</t>
  </si>
  <si>
    <t>NumSaturatedRings_Sol</t>
  </si>
  <si>
    <t>PEOE_VSA1_Cat</t>
  </si>
  <si>
    <t>PEOE_VSA10_Cat</t>
  </si>
  <si>
    <t>PEOE_VSA10_Sol</t>
  </si>
  <si>
    <t>PEOE_VSA11_Cat</t>
  </si>
  <si>
    <t>PEOE_VSA11_Sub</t>
  </si>
  <si>
    <t>PEOE_VSA12_Cat</t>
  </si>
  <si>
    <t>PEOE_VSA12_Sub</t>
  </si>
  <si>
    <t>PEOE_VSA12_Sol</t>
  </si>
  <si>
    <t>PEOE_VSA13_Cat</t>
  </si>
  <si>
    <t>PEOE_VSA13_Sub</t>
  </si>
  <si>
    <t>PEOE_VSA13_Sol</t>
  </si>
  <si>
    <t>PEOE_VSA14_Sub</t>
  </si>
  <si>
    <t>PEOE_VSA14_Sol</t>
  </si>
  <si>
    <t>PEOE_VSA2_Cat</t>
  </si>
  <si>
    <t>PEOE_VSA2_Sub</t>
  </si>
  <si>
    <t>PEOE_VSA2_Sol</t>
  </si>
  <si>
    <t>PEOE_VSA3_Cat</t>
  </si>
  <si>
    <t>PEOE_VSA3_Sol</t>
  </si>
  <si>
    <t>PEOE_VSA4_Cat</t>
  </si>
  <si>
    <t>PEOE_VSA4_Sub</t>
  </si>
  <si>
    <t>PEOE_VSA5_Cat</t>
  </si>
  <si>
    <t>PEOE_VSA6_Cat</t>
  </si>
  <si>
    <t>PEOE_VSA7_Cat</t>
  </si>
  <si>
    <t>PEOE_VSA8_Cat</t>
  </si>
  <si>
    <t>PEOE_VSA9_Cat</t>
  </si>
  <si>
    <t>SMR_VSA2_Cat</t>
  </si>
  <si>
    <t>SMR_VSA2_Sub</t>
  </si>
  <si>
    <t>SMR_VSA2_Lig</t>
  </si>
  <si>
    <t>SMR_VSA3_Sol</t>
  </si>
  <si>
    <t>SMR_VSA4_Sol</t>
  </si>
  <si>
    <t>SMR_VSA8_Cat</t>
  </si>
  <si>
    <t>SMR_VSA8_Sub</t>
  </si>
  <si>
    <t>SMR_VSA8_Sol</t>
  </si>
  <si>
    <t>SMR_VSA8_Lig</t>
  </si>
  <si>
    <t>SMR_VSA9_Sol</t>
  </si>
  <si>
    <t>SlogP_VSA1_Sol</t>
  </si>
  <si>
    <t>SlogP_VSA10_Cat</t>
  </si>
  <si>
    <t>SlogP_VSA10_Sub</t>
  </si>
  <si>
    <t>SlogP_VSA10_Sol</t>
  </si>
  <si>
    <t>SlogP_VSA10_Lig</t>
  </si>
  <si>
    <t>SlogP_VSA11_Sol</t>
  </si>
  <si>
    <t>SlogP_VSA12_Cat</t>
  </si>
  <si>
    <t>SlogP_VSA12_Sub</t>
  </si>
  <si>
    <t>SlogP_VSA12_Lig</t>
  </si>
  <si>
    <t>SlogP_VSA7_Cat</t>
  </si>
  <si>
    <t>SlogP_VSA7_Sub</t>
  </si>
  <si>
    <t>SlogP_VSA7_Sol</t>
  </si>
  <si>
    <t>SlogP_VSA7_Lig</t>
  </si>
  <si>
    <t>SlogP_VSA8_Cat</t>
  </si>
  <si>
    <t>SlogP_VSA8_Sol</t>
  </si>
  <si>
    <t>SlogP_VSA9_Cat</t>
  </si>
  <si>
    <t>SlogP_VSA9_Sub</t>
  </si>
  <si>
    <t>SlogP_VSA9_Sol</t>
  </si>
  <si>
    <t>SlogP_VSA9_Lig</t>
  </si>
  <si>
    <t>VSA_EState10_Sub</t>
  </si>
  <si>
    <t>VSA_EState2_Cat</t>
  </si>
  <si>
    <t>VSA_EState2_Sub</t>
  </si>
  <si>
    <t>VSA_EState3_Cat</t>
  </si>
  <si>
    <t>VSA_EState5_Sol</t>
  </si>
  <si>
    <t>VSA_EState9_Sub</t>
  </si>
  <si>
    <t>VSA_EState9_Sol</t>
  </si>
  <si>
    <t>SlogP_VSA11_Lig</t>
  </si>
  <si>
    <t>NumRotatableBonds_Cat</t>
  </si>
  <si>
    <t>NumAliphaticHeterocycles_Lig</t>
  </si>
  <si>
    <t>NumHeteroatoms_Lig</t>
  </si>
  <si>
    <t>Chi3v_Sol</t>
  </si>
  <si>
    <t>Chi3n_Cat</t>
  </si>
  <si>
    <t>MaxPartialCharge_Lig</t>
  </si>
  <si>
    <t>PEOE_VSA11_Lig</t>
  </si>
  <si>
    <t>NumHAcceptors_Sub</t>
  </si>
  <si>
    <t>SMR_VSA2_Sol</t>
  </si>
  <si>
    <t>PEOE_VSA14_Lig</t>
  </si>
  <si>
    <t>NumAliphaticRings_Sol</t>
  </si>
  <si>
    <t>NumAromaticRings_Sol</t>
  </si>
  <si>
    <t>MolWt_Cat</t>
  </si>
  <si>
    <t>EState_VSA7_Sol</t>
  </si>
  <si>
    <t>Solvent_Group</t>
  </si>
  <si>
    <t>SlogP_VSA5_Cat</t>
  </si>
  <si>
    <t>SlogP_VSA11_Sub</t>
  </si>
  <si>
    <t>SMR_VSA3_Sub</t>
  </si>
  <si>
    <t>PEOE_VSA5_Sol</t>
  </si>
  <si>
    <t>NumHeteroatoms_Sub</t>
  </si>
  <si>
    <t>SMR_VSA6_Sol</t>
  </si>
  <si>
    <t>EState_VSA2_Cat</t>
  </si>
  <si>
    <t>EState_VSA1_Cat</t>
  </si>
  <si>
    <t>Chi0_Sol</t>
  </si>
  <si>
    <t>PEOE_VSA3_Lig</t>
  </si>
  <si>
    <t>BalabanJ_Cat</t>
  </si>
  <si>
    <t>SlogP_VSA3_Sub</t>
  </si>
  <si>
    <t>SlogP_VSA4_Sol</t>
  </si>
  <si>
    <t>EState_VSA9_Lig</t>
  </si>
  <si>
    <t>SlogP_VSA1_Cat</t>
  </si>
  <si>
    <t>NumHDonors_Lig</t>
  </si>
  <si>
    <t>NumValenceElectrons_Sub</t>
  </si>
  <si>
    <t>VSA_EState4_Cat</t>
  </si>
  <si>
    <t>BertzCT_Cat</t>
  </si>
  <si>
    <t>TPSA_Sol</t>
  </si>
  <si>
    <t>EState_VSA10_Cat</t>
  </si>
  <si>
    <t>PEOE_VSA9_Sol</t>
  </si>
  <si>
    <t>NumAromaticRings_Cat</t>
  </si>
  <si>
    <t>Chi1_Sol</t>
  </si>
  <si>
    <t>SMR_VSA6_Sub</t>
  </si>
  <si>
    <t>MaxEStateIndex_Lig</t>
  </si>
  <si>
    <t>Kappa1_Lig</t>
  </si>
  <si>
    <t>Kappa3_Sol</t>
  </si>
  <si>
    <t>Chi2v_Sol</t>
  </si>
  <si>
    <t>Chi4v_Sub</t>
  </si>
  <si>
    <t>Chi1v_Cat</t>
  </si>
  <si>
    <t>NumHAcceptors_Lig</t>
  </si>
  <si>
    <t>VSA_EState6_Sol</t>
  </si>
  <si>
    <t>NumAliphaticCarbocycles_Sub</t>
  </si>
  <si>
    <t>Chi4v_Sol</t>
  </si>
  <si>
    <t>VSA_EState2_Sol</t>
  </si>
  <si>
    <t>HallKierAlpha_Sol</t>
  </si>
  <si>
    <t>Kappa2_Cat</t>
  </si>
  <si>
    <t>MolLogP_Cat</t>
  </si>
  <si>
    <t>Chi1n_Sol</t>
  </si>
  <si>
    <t>MinAbsPartialCharge_Sub</t>
  </si>
  <si>
    <t>NumAromaticCarbocycles_Sub</t>
  </si>
  <si>
    <t>SlogP_VSA3_Sol</t>
  </si>
  <si>
    <t>PEOE_VSA8_Sub</t>
  </si>
  <si>
    <t>EState_VSA3_Cat</t>
  </si>
  <si>
    <t>VSA_EState7_Lig</t>
  </si>
  <si>
    <t>NumValenceElectrons_Sol</t>
  </si>
  <si>
    <t>SlogP_VSA2_Sub</t>
  </si>
  <si>
    <t>MaxEStateIndex_Sol</t>
  </si>
  <si>
    <t>HeavyAtomCount_Cat</t>
  </si>
  <si>
    <t>MolLogP_Sub</t>
  </si>
  <si>
    <t>PEOE_VSA8_Lig</t>
  </si>
  <si>
    <t>SMR_VSA3_Cat</t>
  </si>
  <si>
    <t>MaxEStateIndex_Sub</t>
  </si>
  <si>
    <t>SMR_VSA9_Sub</t>
  </si>
  <si>
    <t>NHOHCount_Cat</t>
  </si>
  <si>
    <t>SlogP_VSA6_Sub</t>
  </si>
  <si>
    <t>NumHDonors_Cat</t>
  </si>
  <si>
    <t>NumSaturatedRings_Lig</t>
  </si>
  <si>
    <t>SlogP_VSA5_Sol</t>
  </si>
  <si>
    <t>NumAliphaticCarbocycles_Lig</t>
  </si>
  <si>
    <t>NumAromaticCarbocycles_Lig</t>
  </si>
  <si>
    <t>MaxAbsPartialCharge_Sol</t>
  </si>
  <si>
    <t>PEOE_VSA8_Sol</t>
  </si>
  <si>
    <t>MaxAbsEStateIndex_Cat</t>
  </si>
  <si>
    <t>Chi0_Lig</t>
  </si>
  <si>
    <t>EState_VSA9_Sol</t>
  </si>
  <si>
    <t>SMR_VSA10_Cat</t>
  </si>
  <si>
    <t>NumAromaticRings_Sub</t>
  </si>
  <si>
    <t>MolLogP_Sol</t>
  </si>
  <si>
    <t>SMR_VSA4_Lig</t>
  </si>
  <si>
    <t>VSA_EState2_Lig</t>
  </si>
  <si>
    <t>EState_VSA9_Cat</t>
  </si>
  <si>
    <t>VSA_EState8_Sol</t>
  </si>
  <si>
    <t>PEOE_VSA1_Lig</t>
  </si>
  <si>
    <t>Kappa3_Cat</t>
  </si>
  <si>
    <t>VSA_EState10_Cat</t>
  </si>
  <si>
    <t>MaxPartialCharge_Sol</t>
  </si>
  <si>
    <t>NHOHCount_Sub</t>
  </si>
  <si>
    <t>HeavyAtomCount_Sub</t>
  </si>
  <si>
    <t>Chi2n_Cat</t>
  </si>
  <si>
    <t>Chi0n_Sol</t>
  </si>
  <si>
    <t>NOCount_Sol</t>
  </si>
  <si>
    <t>MinPartialCharge_Sol</t>
  </si>
  <si>
    <t>SMR_VSA4_Cat</t>
  </si>
  <si>
    <t>SlogP_VSA4_Sub</t>
  </si>
  <si>
    <t>Kappa1_Cat</t>
  </si>
  <si>
    <t>SlogP_VSA4_Cat</t>
  </si>
  <si>
    <t>NumHeteroatoms_Cat</t>
  </si>
  <si>
    <t>SlogP_VSA5_Lig</t>
  </si>
  <si>
    <t>EState_VSA8_Sol</t>
  </si>
  <si>
    <t>MolLogP_Lig</t>
  </si>
  <si>
    <t>HeavyAtomCount_Sol</t>
  </si>
  <si>
    <t>MinAbsPartialCharge_Sol</t>
  </si>
  <si>
    <t>NumHDonors_Sub</t>
  </si>
  <si>
    <t>Chi0n_Cat</t>
  </si>
  <si>
    <t>VSA_EState4_Lig</t>
  </si>
  <si>
    <t>SMR_VSA1_Sol</t>
  </si>
  <si>
    <t>SMR_VSA6_Lig</t>
  </si>
  <si>
    <t>Chi4n_Sub</t>
  </si>
  <si>
    <t>NumValenceElectrons_Lig</t>
  </si>
  <si>
    <t>MolWt_Sub</t>
  </si>
  <si>
    <t>MinEStateIndex_Lig</t>
  </si>
  <si>
    <t>NOCount_Lig</t>
  </si>
  <si>
    <t>EState_VSA6_Lig</t>
  </si>
  <si>
    <t>EState_VSA1_Lig</t>
  </si>
  <si>
    <t>SlogP_VSA2_Sol</t>
  </si>
  <si>
    <t>MinAbsEStateIndex_Sub</t>
  </si>
  <si>
    <t>Chi0v_Sol</t>
  </si>
  <si>
    <t>HallKierAlpha_Lig</t>
  </si>
  <si>
    <t>MinEStateIndex_Cat</t>
  </si>
  <si>
    <t>VSA_EState8_Lig</t>
  </si>
  <si>
    <t>Chi1n_Sub</t>
  </si>
  <si>
    <t>PEOE_VSA13_Lig</t>
  </si>
  <si>
    <t>TPSA_Lig</t>
  </si>
  <si>
    <t>PEOE_VSA6_Sol</t>
  </si>
  <si>
    <t>SlogP_VSA5_Sub</t>
  </si>
  <si>
    <t>SlogP_VSA3_Cat</t>
  </si>
  <si>
    <t>HeavyAtomMolWt_Lig</t>
  </si>
  <si>
    <t>Chi3n_Sub</t>
  </si>
  <si>
    <t>Chi1_Sub</t>
  </si>
  <si>
    <t>MolWt_Lig</t>
  </si>
  <si>
    <t>SMR_VSA5_Sol</t>
  </si>
  <si>
    <t>SMR_VSA1_Lig</t>
  </si>
  <si>
    <t>SlogP_VSA6_Sol</t>
  </si>
  <si>
    <t>PEOE_VSA7_Sub</t>
  </si>
  <si>
    <t>BertzCT_Sub</t>
  </si>
  <si>
    <t>VSA_EState6_Lig</t>
  </si>
  <si>
    <t>PEOE_VSA9_Lig</t>
  </si>
  <si>
    <t>Chi1v_Sol</t>
  </si>
  <si>
    <t>Chi3n_Lig</t>
  </si>
  <si>
    <t>EState_VSA7_Sub</t>
  </si>
  <si>
    <t>Chi0_Sub</t>
  </si>
  <si>
    <t>Temp_K</t>
  </si>
  <si>
    <t>SlogP_VSA4_Lig</t>
  </si>
  <si>
    <t>Kappa2_Sub</t>
  </si>
  <si>
    <t>EState_VSA5_Sub</t>
  </si>
  <si>
    <t>MinEStateIndex_Sol</t>
  </si>
  <si>
    <t>MaxPartialCharge_Sub</t>
  </si>
  <si>
    <t>SMR_VSA10_Sub</t>
  </si>
  <si>
    <t>Solv_surf_tens</t>
  </si>
  <si>
    <t>EState_VSA10_Lig</t>
  </si>
  <si>
    <t>EState_VSA8_Sub</t>
  </si>
  <si>
    <t>MaxAbsEStateIndex_Sub</t>
  </si>
  <si>
    <t>SMR_VSA7_Sub</t>
  </si>
  <si>
    <t>Chi1v_Sub</t>
  </si>
  <si>
    <t>Oxidant_Group</t>
  </si>
  <si>
    <t>PEOE_VSA6_Sub</t>
  </si>
  <si>
    <t>EState_VSA2_Sol</t>
  </si>
  <si>
    <t>SMR_VSA5_Sub</t>
  </si>
  <si>
    <t>VSA_EState3_Lig</t>
  </si>
  <si>
    <t>VSA_EState8_Sub</t>
  </si>
  <si>
    <t>SMR_VSA10_Lig</t>
  </si>
  <si>
    <t>Ligand</t>
  </si>
  <si>
    <t>Solvent</t>
  </si>
  <si>
    <t>Catalyst</t>
  </si>
  <si>
    <t>Substrate</t>
  </si>
  <si>
    <t>Experimental</t>
  </si>
  <si>
    <t>VSA</t>
  </si>
  <si>
    <t>Structural</t>
  </si>
  <si>
    <t>Electronic</t>
  </si>
  <si>
    <t>Optimized</t>
  </si>
  <si>
    <t>Number of Descriptors</t>
  </si>
  <si>
    <t>Gradient Boosting Optimized Group II</t>
  </si>
  <si>
    <t>GB - 96% CT</t>
  </si>
  <si>
    <t>RF - 96% CT</t>
  </si>
  <si>
    <t>GB Opt - 96% CT</t>
  </si>
  <si>
    <t>RF Opt - 96% CT</t>
  </si>
  <si>
    <t>Gradient Boosting Optimized Group I</t>
  </si>
  <si>
    <t>Descriptor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</si>
</sst>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6" fillId="0" borderId="10" xfId="0" applyFont="1" applyBorder="1" applyAlignment="1">
      <alignment horizontal="center" vertical="center"/>
    </xf>
    <xf numFmtId="165" fontId="16" fillId="0" borderId="10" xfId="0" applyNumberFormat="1" applyFont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/>
    </xf>
    <xf numFmtId="11" fontId="16" fillId="0" borderId="10" xfId="0" applyNumberFormat="1" applyFont="1" applyBorder="1" applyAlignment="1">
      <alignment horizontal="center"/>
    </xf>
    <xf numFmtId="165" fontId="0" fillId="33" borderId="0" xfId="0" applyNumberFormat="1" applyFill="1" applyAlignment="1">
      <alignment horizontal="center"/>
    </xf>
    <xf numFmtId="165" fontId="0" fillId="34" borderId="10" xfId="0" applyNumberFormat="1" applyFill="1" applyBorder="1" applyAlignment="1">
      <alignment horizontal="center"/>
    </xf>
    <xf numFmtId="165" fontId="0" fillId="33" borderId="11" xfId="0" applyNumberFormat="1" applyFill="1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4" fontId="0" fillId="33" borderId="0" xfId="0" applyNumberFormat="1" applyFill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164" fontId="0" fillId="33" borderId="11" xfId="0" applyNumberFormat="1" applyFill="1" applyBorder="1" applyAlignment="1">
      <alignment horizontal="center"/>
    </xf>
    <xf numFmtId="0" fontId="16" fillId="35" borderId="0" xfId="0" applyFont="1" applyFill="1" applyAlignment="1">
      <alignment horizontal="center" vertical="center"/>
    </xf>
    <xf numFmtId="46" fontId="0" fillId="35" borderId="0" xfId="0" applyNumberFormat="1" applyFill="1" applyAlignment="1">
      <alignment horizontal="center" vertical="center"/>
    </xf>
    <xf numFmtId="167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7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2" fontId="0" fillId="33" borderId="0" xfId="0" applyNumberFormat="1" applyFill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0" fillId="33" borderId="11" xfId="0" applyNumberFormat="1" applyFill="1" applyBorder="1" applyAlignment="1">
      <alignment horizontal="center"/>
    </xf>
    <xf numFmtId="0" fontId="16" fillId="36" borderId="10" xfId="0" applyFont="1" applyFill="1" applyBorder="1" applyAlignment="1">
      <alignment horizontal="center" vertical="center"/>
    </xf>
    <xf numFmtId="165" fontId="16" fillId="36" borderId="10" xfId="0" applyNumberFormat="1" applyFont="1" applyFill="1" applyBorder="1" applyAlignment="1">
      <alignment horizontal="center"/>
    </xf>
    <xf numFmtId="11" fontId="16" fillId="36" borderId="10" xfId="0" applyNumberFormat="1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165" fontId="16" fillId="36" borderId="10" xfId="0" applyNumberFormat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/>
    </xf>
    <xf numFmtId="11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5" fontId="0" fillId="33" borderId="11" xfId="0" applyNumberFormat="1" applyFill="1" applyBorder="1" applyAlignment="1">
      <alignment horizontal="center" vertical="center"/>
    </xf>
    <xf numFmtId="165" fontId="0" fillId="34" borderId="10" xfId="0" applyNumberFormat="1" applyFill="1" applyBorder="1" applyAlignment="1">
      <alignment horizontal="center" vertical="center"/>
    </xf>
    <xf numFmtId="165" fontId="0" fillId="33" borderId="0" xfId="0" applyNumberFormat="1" applyFill="1" applyAlignment="1">
      <alignment horizontal="center" vertical="center"/>
    </xf>
    <xf numFmtId="1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33" borderId="11" xfId="0" applyNumberFormat="1" applyFill="1" applyBorder="1" applyAlignment="1">
      <alignment horizontal="center"/>
    </xf>
    <xf numFmtId="11" fontId="0" fillId="34" borderId="10" xfId="0" applyNumberFormat="1" applyFill="1" applyBorder="1" applyAlignment="1">
      <alignment horizontal="center"/>
    </xf>
    <xf numFmtId="11" fontId="0" fillId="33" borderId="0" xfId="0" applyNumberFormat="1" applyFill="1" applyAlignment="1">
      <alignment horizontal="center"/>
    </xf>
    <xf numFmtId="0" fontId="0" fillId="0" borderId="0" xfId="0" applyFill="1"/>
    <xf numFmtId="0" fontId="16" fillId="0" borderId="0" xfId="0" applyFont="1" applyFill="1"/>
    <xf numFmtId="0" fontId="0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7F04-0038-454F-9D31-5D8C0742E7D8}">
  <dimension ref="A1:S18"/>
  <sheetViews>
    <sheetView workbookViewId="0">
      <selection activeCell="B19" sqref="B19"/>
    </sheetView>
  </sheetViews>
  <sheetFormatPr baseColWidth="10" defaultRowHeight="16" x14ac:dyDescent="0.2"/>
  <cols>
    <col min="1" max="1" width="16" style="10" bestFit="1" customWidth="1"/>
    <col min="2" max="2" width="11.5" style="9" bestFit="1" customWidth="1"/>
    <col min="3" max="3" width="14.33203125" style="9" customWidth="1"/>
    <col min="4" max="4" width="13.83203125" style="9" bestFit="1" customWidth="1"/>
    <col min="5" max="5" width="11" style="2" customWidth="1"/>
    <col min="6" max="6" width="14.1640625" style="9" bestFit="1" customWidth="1"/>
    <col min="7" max="7" width="12" customWidth="1"/>
    <col min="8" max="9" width="11.1640625" bestFit="1" customWidth="1"/>
  </cols>
  <sheetData>
    <row r="1" spans="1:19" s="5" customFormat="1" x14ac:dyDescent="0.2">
      <c r="A1" s="3" t="s">
        <v>0</v>
      </c>
      <c r="B1" s="4" t="s">
        <v>1</v>
      </c>
      <c r="C1" s="4" t="s">
        <v>2</v>
      </c>
      <c r="D1" s="4" t="s">
        <v>13</v>
      </c>
      <c r="E1" s="12" t="s">
        <v>14</v>
      </c>
      <c r="F1" s="4" t="s">
        <v>15</v>
      </c>
      <c r="G1" s="4" t="s">
        <v>17</v>
      </c>
      <c r="H1" s="4" t="s">
        <v>6</v>
      </c>
      <c r="I1" s="11" t="s">
        <v>3</v>
      </c>
    </row>
    <row r="2" spans="1:19" x14ac:dyDescent="0.2">
      <c r="A2" s="58" t="s">
        <v>9</v>
      </c>
      <c r="B2" s="28">
        <v>0.29218375744892333</v>
      </c>
      <c r="C2" s="28">
        <v>0.89132743862817665</v>
      </c>
      <c r="D2" s="28">
        <v>15.032214712947155</v>
      </c>
      <c r="E2" s="51">
        <v>4.8317213729287814E+17</v>
      </c>
      <c r="F2" s="26">
        <v>21.822863553967174</v>
      </c>
      <c r="G2" s="26">
        <v>2.3561986380733813</v>
      </c>
      <c r="H2" s="26">
        <v>28.509215472686151</v>
      </c>
      <c r="I2" s="26">
        <v>0.3257233499181979</v>
      </c>
    </row>
    <row r="3" spans="1:19" x14ac:dyDescent="0.2">
      <c r="A3" s="57"/>
      <c r="B3" s="27">
        <v>5.430000374450978E-2</v>
      </c>
      <c r="C3" s="27">
        <v>1.8166373967812885E-2</v>
      </c>
      <c r="D3" s="27">
        <v>0.85593972235423521</v>
      </c>
      <c r="E3" s="52">
        <v>2.8167198488858189E+17</v>
      </c>
      <c r="F3" s="27">
        <v>1.4235987008336419</v>
      </c>
      <c r="G3" s="27">
        <v>0.62795409800197699</v>
      </c>
      <c r="H3" s="27">
        <v>4.1072880176997835</v>
      </c>
      <c r="I3" s="27">
        <v>4.5708739751620875E-2</v>
      </c>
      <c r="L3" s="6" t="s">
        <v>7</v>
      </c>
    </row>
    <row r="4" spans="1:19" x14ac:dyDescent="0.2">
      <c r="A4" s="58" t="s">
        <v>11</v>
      </c>
      <c r="B4" s="28">
        <v>0.31550661947700115</v>
      </c>
      <c r="C4" s="28">
        <v>0.87745651956189918</v>
      </c>
      <c r="D4" s="28">
        <v>14.63396483230569</v>
      </c>
      <c r="E4" s="51">
        <v>7.2151558752230925E+17</v>
      </c>
      <c r="F4" s="26">
        <v>21.867951495432621</v>
      </c>
      <c r="G4" s="26">
        <v>1.7239310704516768</v>
      </c>
      <c r="H4" s="26">
        <v>24.03897151685625</v>
      </c>
      <c r="I4" s="26">
        <v>0.33510889086126022</v>
      </c>
      <c r="L4" s="7" t="s">
        <v>8</v>
      </c>
    </row>
    <row r="5" spans="1:19" x14ac:dyDescent="0.2">
      <c r="A5" s="57"/>
      <c r="B5" s="27">
        <v>5.5439445220980654E-2</v>
      </c>
      <c r="C5" s="27">
        <v>1.5941017966863577E-2</v>
      </c>
      <c r="D5" s="27">
        <v>0.83672043922776751</v>
      </c>
      <c r="E5" s="52">
        <v>3.078140431694009E+17</v>
      </c>
      <c r="F5" s="27">
        <v>1.2248003172406132</v>
      </c>
      <c r="G5" s="27">
        <v>0.5222267460546941</v>
      </c>
      <c r="H5" s="27">
        <v>1.7159968240419357</v>
      </c>
      <c r="I5" s="27">
        <v>5.1713413836870281E-2</v>
      </c>
      <c r="L5" s="8" t="s">
        <v>10</v>
      </c>
    </row>
    <row r="6" spans="1:19" x14ac:dyDescent="0.2">
      <c r="A6" s="58" t="s">
        <v>16</v>
      </c>
      <c r="B6" s="26">
        <v>0.22216169933525984</v>
      </c>
      <c r="C6" s="26">
        <v>0.48744061290651658</v>
      </c>
      <c r="D6" s="26">
        <v>17.187041367328344</v>
      </c>
      <c r="E6" s="53">
        <v>4.603801015760233E+17</v>
      </c>
      <c r="F6" s="26">
        <v>23.372436320526155</v>
      </c>
      <c r="G6" s="26">
        <v>5.0228604612553074</v>
      </c>
      <c r="H6" s="26">
        <v>27.868353902880457</v>
      </c>
      <c r="I6" s="26">
        <v>0.24906972394513627</v>
      </c>
      <c r="L6" s="20" t="s">
        <v>19</v>
      </c>
    </row>
    <row r="7" spans="1:19" x14ac:dyDescent="0.2">
      <c r="A7" s="57"/>
      <c r="B7" s="27">
        <v>5.3078071703909241E-2</v>
      </c>
      <c r="C7" s="27">
        <v>7.9560282457952936E-2</v>
      </c>
      <c r="D7" s="27">
        <v>0.97828207288426738</v>
      </c>
      <c r="E7" s="52">
        <v>2.8230959221164714E+17</v>
      </c>
      <c r="F7" s="27">
        <v>1.434140274910231</v>
      </c>
      <c r="G7" s="27">
        <v>4.5328280942988455</v>
      </c>
      <c r="H7" s="27">
        <v>2.4349937472822858</v>
      </c>
      <c r="I7" s="27">
        <v>4.4150124829065711E-2</v>
      </c>
      <c r="L7" s="21" t="s">
        <v>20</v>
      </c>
    </row>
    <row r="8" spans="1:19" x14ac:dyDescent="0.2">
      <c r="A8" s="58" t="s">
        <v>12</v>
      </c>
      <c r="B8" s="26">
        <v>4.9635072872616287E-2</v>
      </c>
      <c r="C8" s="26">
        <v>1.7147468049616223E-2</v>
      </c>
      <c r="D8" s="26">
        <v>19.574040521221953</v>
      </c>
      <c r="E8" s="53">
        <v>5.0971985160683552E+17</v>
      </c>
      <c r="F8" s="26">
        <v>24.768561484432169</v>
      </c>
      <c r="G8" s="26">
        <v>1.3823553431232383</v>
      </c>
      <c r="H8" s="26">
        <v>27.100649248572655</v>
      </c>
      <c r="I8" s="26">
        <v>0.1246613156147804</v>
      </c>
    </row>
    <row r="9" spans="1:19" x14ac:dyDescent="0.2">
      <c r="A9" s="57"/>
      <c r="B9" s="27">
        <v>2.2376380168770273E-2</v>
      </c>
      <c r="C9" s="27">
        <v>2.0814255505597897E-2</v>
      </c>
      <c r="D9" s="27">
        <v>1.0465040166358339</v>
      </c>
      <c r="E9" s="52">
        <v>2.7714817033821251E+17</v>
      </c>
      <c r="F9" s="27">
        <v>1.3085107326522989</v>
      </c>
      <c r="G9" s="27">
        <v>0.4860599754467298</v>
      </c>
      <c r="H9" s="27">
        <v>1.432123958178809</v>
      </c>
      <c r="I9" s="27">
        <v>3.2730240034930136E-2</v>
      </c>
      <c r="K9" s="6"/>
      <c r="L9" s="34"/>
      <c r="M9" s="34"/>
      <c r="N9" s="34"/>
      <c r="O9" s="35"/>
      <c r="P9" s="34"/>
      <c r="Q9" s="34"/>
      <c r="R9" s="34"/>
      <c r="S9" s="36"/>
    </row>
    <row r="10" spans="1:19" x14ac:dyDescent="0.2">
      <c r="A10" s="58" t="s">
        <v>483</v>
      </c>
      <c r="B10" s="26">
        <v>0.86960126663187642</v>
      </c>
      <c r="C10" s="26">
        <v>0.89834794275053687</v>
      </c>
      <c r="D10" s="26">
        <v>5.4374949689198946</v>
      </c>
      <c r="E10" s="26">
        <v>7.4087971147594507</v>
      </c>
      <c r="F10" s="26">
        <v>6.7322990796926954</v>
      </c>
      <c r="G10" s="26">
        <v>1.6389613409541914</v>
      </c>
      <c r="H10" s="26">
        <v>7.756355262342475</v>
      </c>
      <c r="I10" s="26">
        <v>0.88734705101942513</v>
      </c>
      <c r="K10" s="42"/>
      <c r="L10" s="37"/>
      <c r="M10" s="37"/>
      <c r="N10" s="37"/>
      <c r="O10" s="22"/>
      <c r="P10" s="37"/>
      <c r="Q10" s="37"/>
      <c r="R10" s="37"/>
      <c r="S10" s="37"/>
    </row>
    <row r="11" spans="1:19" x14ac:dyDescent="0.2">
      <c r="A11" s="57"/>
      <c r="B11" s="27">
        <v>1.1766589901871811E-2</v>
      </c>
      <c r="C11" s="27">
        <v>1.0273689770209969E-2</v>
      </c>
      <c r="D11" s="27">
        <v>0.36337891973520131</v>
      </c>
      <c r="E11" s="27">
        <v>0.60059655915844623</v>
      </c>
      <c r="F11" s="27">
        <v>0.38224491055220733</v>
      </c>
      <c r="G11" s="27">
        <v>0.64195859259556409</v>
      </c>
      <c r="H11" s="27">
        <v>0.59622075150475995</v>
      </c>
      <c r="I11" s="27">
        <v>1.1746636670949238E-2</v>
      </c>
      <c r="K11" s="42"/>
      <c r="L11" s="37"/>
      <c r="M11" s="37"/>
      <c r="N11" s="37"/>
      <c r="O11" s="22"/>
      <c r="P11" s="37"/>
      <c r="Q11" s="37"/>
      <c r="R11" s="37"/>
      <c r="S11" s="37"/>
    </row>
    <row r="12" spans="1:19" x14ac:dyDescent="0.2">
      <c r="A12" s="58" t="s">
        <v>484</v>
      </c>
      <c r="B12" s="26">
        <v>0.8582650112062068</v>
      </c>
      <c r="C12" s="26">
        <v>0.8968903435843234</v>
      </c>
      <c r="D12" s="26">
        <v>5.2263040763106137</v>
      </c>
      <c r="E12" s="26">
        <v>6.9955793805054478</v>
      </c>
      <c r="F12" s="26">
        <v>6.6149254693611077</v>
      </c>
      <c r="G12" s="26">
        <v>1.2618913934917477</v>
      </c>
      <c r="H12" s="26">
        <v>7.385366085518255</v>
      </c>
      <c r="I12" s="26">
        <v>0.87764559737950132</v>
      </c>
      <c r="K12" s="42"/>
      <c r="L12" s="37"/>
      <c r="M12" s="37"/>
      <c r="N12" s="37"/>
      <c r="O12" s="22"/>
      <c r="P12" s="37"/>
      <c r="Q12" s="37"/>
      <c r="R12" s="37"/>
      <c r="S12" s="37"/>
    </row>
    <row r="13" spans="1:19" x14ac:dyDescent="0.2">
      <c r="A13" s="57"/>
      <c r="B13" s="27">
        <v>1.4217992836664882E-2</v>
      </c>
      <c r="C13" s="27">
        <v>1.4649021537582097E-2</v>
      </c>
      <c r="D13" s="27">
        <v>0.38779566407111582</v>
      </c>
      <c r="E13" s="27">
        <v>0.56844406641226475</v>
      </c>
      <c r="F13" s="27">
        <v>0.45998159313529935</v>
      </c>
      <c r="G13" s="27">
        <v>0.38563071366700441</v>
      </c>
      <c r="H13" s="27">
        <v>0.57993689117480207</v>
      </c>
      <c r="I13" s="27">
        <v>9.3171564039624052E-3</v>
      </c>
      <c r="K13" s="42"/>
      <c r="L13" s="37"/>
      <c r="M13" s="37"/>
      <c r="N13" s="37"/>
      <c r="O13" s="22"/>
      <c r="P13" s="37"/>
      <c r="Q13" s="37"/>
      <c r="R13" s="37"/>
      <c r="S13" s="37"/>
    </row>
    <row r="14" spans="1:19" x14ac:dyDescent="0.2">
      <c r="A14" s="58" t="s">
        <v>485</v>
      </c>
      <c r="B14" s="26">
        <v>0.8978322529374998</v>
      </c>
      <c r="C14" s="26">
        <v>0.97467702006250012</v>
      </c>
      <c r="D14" s="26">
        <v>4.2638556196874999</v>
      </c>
      <c r="E14" s="26">
        <v>5.9488081453749997</v>
      </c>
      <c r="F14" s="26">
        <v>5.8439803453124997</v>
      </c>
      <c r="G14" s="26">
        <v>2.125847254875</v>
      </c>
      <c r="H14" s="26">
        <v>6.0979391405625005</v>
      </c>
      <c r="I14" s="26">
        <v>0.90312092456249993</v>
      </c>
    </row>
    <row r="15" spans="1:19" x14ac:dyDescent="0.2">
      <c r="A15" s="57"/>
      <c r="B15" s="27">
        <v>2.6121064298284341E-2</v>
      </c>
      <c r="C15" s="27">
        <v>1.6596927108305095E-2</v>
      </c>
      <c r="D15" s="27">
        <v>0.25582085103085911</v>
      </c>
      <c r="E15" s="27">
        <v>0.3699982976794276</v>
      </c>
      <c r="F15" s="27">
        <v>0.33884929475622821</v>
      </c>
      <c r="G15" s="27">
        <v>0.83605754588404724</v>
      </c>
      <c r="H15" s="27">
        <v>0.38954746194598344</v>
      </c>
      <c r="I15" s="27">
        <v>2.6014957396222772E-2</v>
      </c>
    </row>
    <row r="16" spans="1:19" x14ac:dyDescent="0.2">
      <c r="A16" s="58" t="s">
        <v>486</v>
      </c>
      <c r="B16" s="26">
        <v>0.87514360981249995</v>
      </c>
      <c r="C16" s="26">
        <v>0.98048648199999999</v>
      </c>
      <c r="D16" s="26">
        <v>4.5702505243125007</v>
      </c>
      <c r="E16" s="26">
        <v>6.2115132849375012</v>
      </c>
      <c r="F16" s="26">
        <v>6.1581926728125005</v>
      </c>
      <c r="G16" s="26">
        <v>1.5434466813749999</v>
      </c>
      <c r="H16" s="26">
        <v>6.5670366708749999</v>
      </c>
      <c r="I16" s="26">
        <v>0.89252745131249989</v>
      </c>
    </row>
    <row r="17" spans="1:9" x14ac:dyDescent="0.2">
      <c r="A17" s="57"/>
      <c r="B17" s="27">
        <v>2.6494165739763452E-2</v>
      </c>
      <c r="C17" s="27">
        <v>1.5573133308191879E-2</v>
      </c>
      <c r="D17" s="27">
        <v>0.50247096286545034</v>
      </c>
      <c r="E17" s="27">
        <v>0.63654345194945827</v>
      </c>
      <c r="F17" s="27">
        <v>0.65292141701352246</v>
      </c>
      <c r="G17" s="27">
        <v>0.69326290040733907</v>
      </c>
      <c r="H17" s="27">
        <v>0.71110550170521936</v>
      </c>
      <c r="I17" s="27">
        <v>1.6187668125126894E-2</v>
      </c>
    </row>
    <row r="18" spans="1:9" x14ac:dyDescent="0.2">
      <c r="A18" s="9"/>
    </row>
  </sheetData>
  <mergeCells count="10">
    <mergeCell ref="A14:A15"/>
    <mergeCell ref="A16:A17"/>
    <mergeCell ref="A12:A13"/>
    <mergeCell ref="K10:K11"/>
    <mergeCell ref="K12:K13"/>
    <mergeCell ref="A10:A11"/>
    <mergeCell ref="A2:A3"/>
    <mergeCell ref="A4:A5"/>
    <mergeCell ref="A6:A7"/>
    <mergeCell ref="A8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EC3F-FC2B-3C46-8C23-33347503681E}">
  <dimension ref="A1:F73"/>
  <sheetViews>
    <sheetView workbookViewId="0">
      <selection activeCell="K17" sqref="K17"/>
    </sheetView>
  </sheetViews>
  <sheetFormatPr baseColWidth="10" defaultRowHeight="16" x14ac:dyDescent="0.2"/>
  <cols>
    <col min="3" max="3" width="10.83203125" style="1"/>
    <col min="4" max="4" width="10.83203125" style="9"/>
  </cols>
  <sheetData>
    <row r="1" spans="1:6" x14ac:dyDescent="0.2">
      <c r="A1" s="3" t="s">
        <v>0</v>
      </c>
      <c r="B1" s="3" t="s">
        <v>18</v>
      </c>
      <c r="C1" s="16" t="s">
        <v>13</v>
      </c>
      <c r="D1" s="4" t="s">
        <v>3</v>
      </c>
    </row>
    <row r="2" spans="1:6" x14ac:dyDescent="0.2">
      <c r="A2" s="42" t="s">
        <v>11</v>
      </c>
      <c r="B2" s="42">
        <v>0.1</v>
      </c>
      <c r="C2" s="17">
        <v>19.650990980000003</v>
      </c>
      <c r="D2" s="13">
        <v>0.1008976848</v>
      </c>
      <c r="F2" s="6" t="s">
        <v>7</v>
      </c>
    </row>
    <row r="3" spans="1:6" x14ac:dyDescent="0.2">
      <c r="A3" s="43"/>
      <c r="B3" s="43"/>
      <c r="C3" s="18">
        <v>1.3924618870870198</v>
      </c>
      <c r="D3" s="14">
        <v>4.4377693975688373E-2</v>
      </c>
      <c r="F3" s="7" t="s">
        <v>8</v>
      </c>
    </row>
    <row r="4" spans="1:6" x14ac:dyDescent="0.2">
      <c r="A4" s="42" t="s">
        <v>11</v>
      </c>
      <c r="B4" s="42">
        <v>0.2</v>
      </c>
      <c r="C4" s="19">
        <v>18.252071891999996</v>
      </c>
      <c r="D4" s="15">
        <v>0.14807513160000002</v>
      </c>
      <c r="F4" s="8" t="s">
        <v>10</v>
      </c>
    </row>
    <row r="5" spans="1:6" x14ac:dyDescent="0.2">
      <c r="A5" s="43"/>
      <c r="B5" s="43"/>
      <c r="C5" s="18">
        <v>1.274614812460017</v>
      </c>
      <c r="D5" s="14">
        <v>5.1475722384722575E-2</v>
      </c>
    </row>
    <row r="6" spans="1:6" x14ac:dyDescent="0.2">
      <c r="A6" s="42" t="s">
        <v>11</v>
      </c>
      <c r="B6" s="42">
        <v>0.3</v>
      </c>
      <c r="C6" s="19">
        <v>16.665752804</v>
      </c>
      <c r="D6" s="15">
        <v>0.21845561959999998</v>
      </c>
    </row>
    <row r="7" spans="1:6" x14ac:dyDescent="0.2">
      <c r="A7" s="43"/>
      <c r="B7" s="43"/>
      <c r="C7" s="18">
        <v>1.0032821650934569</v>
      </c>
      <c r="D7" s="14">
        <v>5.2542019767539028E-2</v>
      </c>
    </row>
    <row r="8" spans="1:6" x14ac:dyDescent="0.2">
      <c r="A8" s="42" t="s">
        <v>11</v>
      </c>
      <c r="B8" s="42">
        <v>0.4</v>
      </c>
      <c r="C8" s="17">
        <v>16.081730355999998</v>
      </c>
      <c r="D8" s="13">
        <v>0.24117445799999998</v>
      </c>
    </row>
    <row r="9" spans="1:6" x14ac:dyDescent="0.2">
      <c r="A9" s="43"/>
      <c r="B9" s="43"/>
      <c r="C9" s="18">
        <v>0.73514741062780165</v>
      </c>
      <c r="D9" s="14">
        <v>5.3843449632510303E-2</v>
      </c>
    </row>
    <row r="10" spans="1:6" x14ac:dyDescent="0.2">
      <c r="A10" s="42" t="s">
        <v>11</v>
      </c>
      <c r="B10" s="42">
        <v>0.5</v>
      </c>
      <c r="C10" s="17">
        <v>15.02942032</v>
      </c>
      <c r="D10" s="13">
        <v>0.3060540664000001</v>
      </c>
    </row>
    <row r="11" spans="1:6" x14ac:dyDescent="0.2">
      <c r="A11" s="43"/>
      <c r="B11" s="43"/>
      <c r="C11" s="18">
        <v>1.3019430007669899</v>
      </c>
      <c r="D11" s="14">
        <v>6.538817977434451E-2</v>
      </c>
    </row>
    <row r="12" spans="1:6" x14ac:dyDescent="0.2">
      <c r="A12" s="42" t="s">
        <v>11</v>
      </c>
      <c r="B12" s="42">
        <v>0.6</v>
      </c>
      <c r="C12" s="17">
        <v>15.052978240000005</v>
      </c>
      <c r="D12" s="13">
        <v>0.31052920839999998</v>
      </c>
    </row>
    <row r="13" spans="1:6" x14ac:dyDescent="0.2">
      <c r="A13" s="43"/>
      <c r="B13" s="43"/>
      <c r="C13" s="18">
        <v>0.98982989149413969</v>
      </c>
      <c r="D13" s="14">
        <v>6.4430398587949592E-2</v>
      </c>
    </row>
    <row r="14" spans="1:6" x14ac:dyDescent="0.2">
      <c r="A14" s="42" t="s">
        <v>11</v>
      </c>
      <c r="B14" s="42">
        <v>0.7</v>
      </c>
      <c r="C14" s="17">
        <v>15.030056</v>
      </c>
      <c r="D14" s="13">
        <v>0.31118745080000004</v>
      </c>
    </row>
    <row r="15" spans="1:6" x14ac:dyDescent="0.2">
      <c r="A15" s="43"/>
      <c r="B15" s="43"/>
      <c r="C15" s="18">
        <v>1.3085847178860701</v>
      </c>
      <c r="D15" s="14">
        <v>8.74158956938349E-2</v>
      </c>
    </row>
    <row r="16" spans="1:6" x14ac:dyDescent="0.2">
      <c r="A16" s="42" t="s">
        <v>11</v>
      </c>
      <c r="B16" s="42">
        <v>0.8</v>
      </c>
      <c r="C16" s="17">
        <v>14.549562164000001</v>
      </c>
      <c r="D16" s="13">
        <v>0.35455279399999989</v>
      </c>
    </row>
    <row r="17" spans="1:4" x14ac:dyDescent="0.2">
      <c r="A17" s="43"/>
      <c r="B17" s="43"/>
      <c r="C17" s="18">
        <v>2.0877106218479393</v>
      </c>
      <c r="D17" s="14">
        <v>0.13559024329434149</v>
      </c>
    </row>
    <row r="18" spans="1:4" x14ac:dyDescent="0.2">
      <c r="A18" s="42" t="s">
        <v>11</v>
      </c>
      <c r="B18" s="42">
        <v>0.9</v>
      </c>
      <c r="C18" s="17">
        <v>13.318887164800001</v>
      </c>
      <c r="D18" s="13">
        <v>0.43991690400000005</v>
      </c>
    </row>
    <row r="19" spans="1:4" x14ac:dyDescent="0.2">
      <c r="A19" s="43"/>
      <c r="B19" s="43"/>
      <c r="C19" s="18">
        <v>2.1852408128559357</v>
      </c>
      <c r="D19" s="14">
        <v>0.1674569012390052</v>
      </c>
    </row>
    <row r="20" spans="1:4" x14ac:dyDescent="0.2">
      <c r="A20" s="42" t="s">
        <v>9</v>
      </c>
      <c r="B20" s="42">
        <v>0.1</v>
      </c>
      <c r="C20" s="17">
        <v>20.919328898977874</v>
      </c>
      <c r="D20" s="13">
        <v>9.2936899421080188E-2</v>
      </c>
    </row>
    <row r="21" spans="1:4" x14ac:dyDescent="0.2">
      <c r="A21" s="43"/>
      <c r="B21" s="43"/>
      <c r="C21" s="18">
        <v>2.334561546495121</v>
      </c>
      <c r="D21" s="14">
        <v>5.0253451426026996E-2</v>
      </c>
    </row>
    <row r="22" spans="1:4" x14ac:dyDescent="0.2">
      <c r="A22" s="42" t="s">
        <v>9</v>
      </c>
      <c r="B22" s="42">
        <v>0.2</v>
      </c>
      <c r="C22" s="19">
        <v>18.416790958534577</v>
      </c>
      <c r="D22" s="15">
        <v>0.15875148161125238</v>
      </c>
    </row>
    <row r="23" spans="1:4" x14ac:dyDescent="0.2">
      <c r="A23" s="43"/>
      <c r="B23" s="43"/>
      <c r="C23" s="18">
        <v>1.2510695382781223</v>
      </c>
      <c r="D23" s="14">
        <v>5.2467260471185981E-2</v>
      </c>
    </row>
    <row r="24" spans="1:4" x14ac:dyDescent="0.2">
      <c r="A24" s="42" t="s">
        <v>9</v>
      </c>
      <c r="B24" s="42">
        <v>0.3</v>
      </c>
      <c r="C24" s="19">
        <v>17.4989298461408</v>
      </c>
      <c r="D24" s="15">
        <v>0.19489914231845021</v>
      </c>
    </row>
    <row r="25" spans="1:4" x14ac:dyDescent="0.2">
      <c r="A25" s="43"/>
      <c r="B25" s="43"/>
      <c r="C25" s="18">
        <v>1.0360055756468738</v>
      </c>
      <c r="D25" s="14">
        <v>4.637445593617575E-2</v>
      </c>
    </row>
    <row r="26" spans="1:4" x14ac:dyDescent="0.2">
      <c r="A26" s="42" t="s">
        <v>9</v>
      </c>
      <c r="B26" s="42">
        <v>0.4</v>
      </c>
      <c r="C26" s="17">
        <v>16.139210750043762</v>
      </c>
      <c r="D26" s="13">
        <v>0.25943707631539842</v>
      </c>
    </row>
    <row r="27" spans="1:4" x14ac:dyDescent="0.2">
      <c r="A27" s="43"/>
      <c r="B27" s="43"/>
      <c r="C27" s="18">
        <v>1.0637227382565708</v>
      </c>
      <c r="D27" s="14">
        <v>6.7245166888200036E-2</v>
      </c>
    </row>
    <row r="28" spans="1:4" x14ac:dyDescent="0.2">
      <c r="A28" s="42" t="s">
        <v>9</v>
      </c>
      <c r="B28" s="42">
        <v>0.5</v>
      </c>
      <c r="C28" s="17">
        <v>15.705716534866928</v>
      </c>
      <c r="D28" s="13">
        <v>0.27109919109633634</v>
      </c>
    </row>
    <row r="29" spans="1:4" x14ac:dyDescent="0.2">
      <c r="A29" s="43"/>
      <c r="B29" s="43"/>
      <c r="C29" s="18">
        <v>1.0801587082570117</v>
      </c>
      <c r="D29" s="14">
        <v>6.8157291682190396E-2</v>
      </c>
    </row>
    <row r="30" spans="1:4" x14ac:dyDescent="0.2">
      <c r="A30" s="42" t="s">
        <v>9</v>
      </c>
      <c r="B30" s="42">
        <v>0.6</v>
      </c>
      <c r="C30" s="17">
        <v>15.148643212113997</v>
      </c>
      <c r="D30" s="13">
        <v>0.31082368190798765</v>
      </c>
    </row>
    <row r="31" spans="1:4" x14ac:dyDescent="0.2">
      <c r="A31" s="43"/>
      <c r="B31" s="43"/>
      <c r="C31" s="18">
        <v>1.1908947354946395</v>
      </c>
      <c r="D31" s="14">
        <v>6.0476190663406391E-2</v>
      </c>
    </row>
    <row r="32" spans="1:4" x14ac:dyDescent="0.2">
      <c r="A32" s="42" t="s">
        <v>9</v>
      </c>
      <c r="B32" s="42">
        <v>0.7</v>
      </c>
      <c r="C32" s="17">
        <v>15.424863289904895</v>
      </c>
      <c r="D32" s="13">
        <v>0.29916004316005584</v>
      </c>
    </row>
    <row r="33" spans="1:4" x14ac:dyDescent="0.2">
      <c r="A33" s="43"/>
      <c r="B33" s="43"/>
      <c r="C33" s="18">
        <v>1.6591994450608716</v>
      </c>
      <c r="D33" s="14">
        <v>7.7484924407266509E-2</v>
      </c>
    </row>
    <row r="34" spans="1:4" x14ac:dyDescent="0.2">
      <c r="A34" s="42" t="s">
        <v>9</v>
      </c>
      <c r="B34" s="42">
        <v>0.8</v>
      </c>
      <c r="C34" s="17">
        <v>14.401078439664264</v>
      </c>
      <c r="D34" s="13">
        <v>0.38592746141320916</v>
      </c>
    </row>
    <row r="35" spans="1:4" x14ac:dyDescent="0.2">
      <c r="A35" s="43"/>
      <c r="B35" s="43"/>
      <c r="C35" s="18">
        <v>1.5717641697406999</v>
      </c>
      <c r="D35" s="14">
        <v>8.7360293036501904E-2</v>
      </c>
    </row>
    <row r="36" spans="1:4" x14ac:dyDescent="0.2">
      <c r="A36" s="42" t="s">
        <v>9</v>
      </c>
      <c r="B36" s="42">
        <v>0.9</v>
      </c>
      <c r="C36" s="17">
        <v>14.716596062249678</v>
      </c>
      <c r="D36" s="13">
        <v>0.35271713118292952</v>
      </c>
    </row>
    <row r="37" spans="1:4" x14ac:dyDescent="0.2">
      <c r="A37" s="43"/>
      <c r="B37" s="43"/>
      <c r="C37" s="18">
        <v>2.4881106456889892</v>
      </c>
      <c r="D37" s="14">
        <v>0.1380259433460013</v>
      </c>
    </row>
    <row r="38" spans="1:4" x14ac:dyDescent="0.2">
      <c r="A38" s="42" t="s">
        <v>16</v>
      </c>
      <c r="B38" s="42">
        <v>0.1</v>
      </c>
      <c r="C38" s="17">
        <v>23.369872661388442</v>
      </c>
      <c r="D38" s="13">
        <v>5.6668579690495727E-2</v>
      </c>
    </row>
    <row r="39" spans="1:4" x14ac:dyDescent="0.2">
      <c r="A39" s="43"/>
      <c r="B39" s="43"/>
      <c r="C39" s="18">
        <v>2.6762741189438741</v>
      </c>
      <c r="D39" s="14">
        <v>3.7795365720506964E-2</v>
      </c>
    </row>
    <row r="40" spans="1:4" x14ac:dyDescent="0.2">
      <c r="A40" s="42" t="s">
        <v>16</v>
      </c>
      <c r="B40" s="42">
        <v>0.2</v>
      </c>
      <c r="C40" s="19">
        <v>21.759134607598398</v>
      </c>
      <c r="D40" s="15">
        <v>9.6472365123177639E-2</v>
      </c>
    </row>
    <row r="41" spans="1:4" x14ac:dyDescent="0.2">
      <c r="A41" s="43"/>
      <c r="B41" s="43"/>
      <c r="C41" s="18">
        <v>4.6033615588734138</v>
      </c>
      <c r="D41" s="14">
        <v>4.6953010983708701E-2</v>
      </c>
    </row>
    <row r="42" spans="1:4" x14ac:dyDescent="0.2">
      <c r="A42" s="42" t="s">
        <v>16</v>
      </c>
      <c r="B42" s="42">
        <v>0.3</v>
      </c>
      <c r="C42" s="19">
        <v>21.399590226118242</v>
      </c>
      <c r="D42" s="15">
        <v>0.11387787236166384</v>
      </c>
    </row>
    <row r="43" spans="1:4" x14ac:dyDescent="0.2">
      <c r="A43" s="43"/>
      <c r="B43" s="43"/>
      <c r="C43" s="18">
        <v>6.5602502219344592</v>
      </c>
      <c r="D43" s="14">
        <v>5.8501598725209256E-2</v>
      </c>
    </row>
    <row r="44" spans="1:4" x14ac:dyDescent="0.2">
      <c r="A44" s="42" t="s">
        <v>16</v>
      </c>
      <c r="B44" s="42">
        <v>0.4</v>
      </c>
      <c r="C44" s="17">
        <v>19.291804039472968</v>
      </c>
      <c r="D44" s="13">
        <v>0.13761183535169152</v>
      </c>
    </row>
    <row r="45" spans="1:4" x14ac:dyDescent="0.2">
      <c r="A45" s="43"/>
      <c r="B45" s="43"/>
      <c r="C45" s="18">
        <v>2.2205815427625604</v>
      </c>
      <c r="D45" s="14">
        <v>5.7543885606904197E-2</v>
      </c>
    </row>
    <row r="46" spans="1:4" x14ac:dyDescent="0.2">
      <c r="A46" s="42" t="s">
        <v>16</v>
      </c>
      <c r="B46" s="42">
        <v>0.5</v>
      </c>
      <c r="C46" s="17">
        <v>19.626701193511131</v>
      </c>
      <c r="D46" s="13">
        <v>0.14896144414472973</v>
      </c>
    </row>
    <row r="47" spans="1:4" x14ac:dyDescent="0.2">
      <c r="A47" s="43"/>
      <c r="B47" s="43"/>
      <c r="C47" s="18">
        <v>4.5419926613830892</v>
      </c>
      <c r="D47" s="14">
        <v>7.2380162988770799E-2</v>
      </c>
    </row>
    <row r="48" spans="1:4" x14ac:dyDescent="0.2">
      <c r="A48" s="42" t="s">
        <v>16</v>
      </c>
      <c r="B48" s="42">
        <v>0.6</v>
      </c>
      <c r="C48" s="17">
        <v>19.139462605782867</v>
      </c>
      <c r="D48" s="13">
        <v>0.16520759741101024</v>
      </c>
    </row>
    <row r="49" spans="1:4" x14ac:dyDescent="0.2">
      <c r="A49" s="43"/>
      <c r="B49" s="43"/>
      <c r="C49" s="18">
        <v>6.8407629903561755</v>
      </c>
      <c r="D49" s="14">
        <v>7.9490679435793396E-2</v>
      </c>
    </row>
    <row r="50" spans="1:4" x14ac:dyDescent="0.2">
      <c r="A50" s="42" t="s">
        <v>16</v>
      </c>
      <c r="B50" s="42">
        <v>0.7</v>
      </c>
      <c r="C50" s="17">
        <v>20.908683430412388</v>
      </c>
      <c r="D50" s="13">
        <v>0.17144917202848359</v>
      </c>
    </row>
    <row r="51" spans="1:4" x14ac:dyDescent="0.2">
      <c r="A51" s="43"/>
      <c r="B51" s="43"/>
      <c r="C51" s="18">
        <v>12.736516025172074</v>
      </c>
      <c r="D51" s="14">
        <v>9.5213862138217684E-2</v>
      </c>
    </row>
    <row r="52" spans="1:4" x14ac:dyDescent="0.2">
      <c r="A52" s="42" t="s">
        <v>16</v>
      </c>
      <c r="B52" s="42">
        <v>0.8</v>
      </c>
      <c r="C52" s="17">
        <v>18.011492292892434</v>
      </c>
      <c r="D52" s="13">
        <v>0.20106106012851818</v>
      </c>
    </row>
    <row r="53" spans="1:4" x14ac:dyDescent="0.2">
      <c r="A53" s="43"/>
      <c r="B53" s="43"/>
      <c r="C53" s="18">
        <v>1.7692685589497914</v>
      </c>
      <c r="D53" s="14">
        <v>7.4404585288433078E-2</v>
      </c>
    </row>
    <row r="54" spans="1:4" x14ac:dyDescent="0.2">
      <c r="A54" s="42" t="s">
        <v>16</v>
      </c>
      <c r="B54" s="42">
        <v>0.9</v>
      </c>
      <c r="C54" s="17">
        <v>17.857332303699199</v>
      </c>
      <c r="D54" s="13">
        <v>0.18739394854958413</v>
      </c>
    </row>
    <row r="55" spans="1:4" x14ac:dyDescent="0.2">
      <c r="A55" s="43"/>
      <c r="B55" s="43"/>
      <c r="C55" s="18">
        <v>2.8868871729641898</v>
      </c>
      <c r="D55" s="14">
        <v>0.13221393994142655</v>
      </c>
    </row>
    <row r="56" spans="1:4" x14ac:dyDescent="0.2">
      <c r="A56" s="42" t="s">
        <v>12</v>
      </c>
      <c r="B56" s="42">
        <v>0.1</v>
      </c>
      <c r="C56" s="17">
        <v>21.522371256086995</v>
      </c>
      <c r="D56" s="13">
        <v>7.4715824022522956E-2</v>
      </c>
    </row>
    <row r="57" spans="1:4" x14ac:dyDescent="0.2">
      <c r="A57" s="43"/>
      <c r="B57" s="43"/>
      <c r="C57" s="18">
        <v>0.54946703977961975</v>
      </c>
      <c r="D57" s="14">
        <v>1.9016127079778299E-2</v>
      </c>
    </row>
    <row r="58" spans="1:4" x14ac:dyDescent="0.2">
      <c r="A58" s="42" t="s">
        <v>12</v>
      </c>
      <c r="B58" s="42">
        <v>0.2</v>
      </c>
      <c r="C58" s="19">
        <v>21.175082060210638</v>
      </c>
      <c r="D58" s="15">
        <v>8.2247771781811405E-2</v>
      </c>
    </row>
    <row r="59" spans="1:4" x14ac:dyDescent="0.2">
      <c r="A59" s="43"/>
      <c r="B59" s="43"/>
      <c r="C59" s="18">
        <v>0.78650524161371205</v>
      </c>
      <c r="D59" s="14">
        <v>2.0004013387980461E-2</v>
      </c>
    </row>
    <row r="60" spans="1:4" x14ac:dyDescent="0.2">
      <c r="A60" s="42" t="s">
        <v>12</v>
      </c>
      <c r="B60" s="42">
        <v>0.3</v>
      </c>
      <c r="C60" s="19">
        <v>20.833234450890089</v>
      </c>
      <c r="D60" s="15">
        <v>9.0238323486371924E-2</v>
      </c>
    </row>
    <row r="61" spans="1:4" x14ac:dyDescent="0.2">
      <c r="A61" s="43"/>
      <c r="B61" s="43"/>
      <c r="C61" s="18">
        <v>0.54067512679958896</v>
      </c>
      <c r="D61" s="14">
        <v>2.0888927402797762E-2</v>
      </c>
    </row>
    <row r="62" spans="1:4" x14ac:dyDescent="0.2">
      <c r="A62" s="42" t="s">
        <v>12</v>
      </c>
      <c r="B62" s="42">
        <v>0.4</v>
      </c>
      <c r="C62" s="17">
        <v>20.615942769262784</v>
      </c>
      <c r="D62" s="13">
        <v>8.8069191811987441E-2</v>
      </c>
    </row>
    <row r="63" spans="1:4" x14ac:dyDescent="0.2">
      <c r="A63" s="43"/>
      <c r="B63" s="43"/>
      <c r="C63" s="18">
        <v>0.69566189205943885</v>
      </c>
      <c r="D63" s="14">
        <v>2.4871911396409201E-2</v>
      </c>
    </row>
    <row r="64" spans="1:4" x14ac:dyDescent="0.2">
      <c r="A64" s="42" t="s">
        <v>12</v>
      </c>
      <c r="B64" s="42">
        <v>0.5</v>
      </c>
      <c r="C64" s="17">
        <v>20.050979103563957</v>
      </c>
      <c r="D64" s="13">
        <v>9.5907561693914845E-2</v>
      </c>
    </row>
    <row r="65" spans="1:4" x14ac:dyDescent="0.2">
      <c r="A65" s="43"/>
      <c r="B65" s="43"/>
      <c r="C65" s="18">
        <v>0.83931221030237213</v>
      </c>
      <c r="D65" s="14">
        <v>3.9422478804628514E-2</v>
      </c>
    </row>
    <row r="66" spans="1:4" x14ac:dyDescent="0.2">
      <c r="A66" s="42" t="s">
        <v>12</v>
      </c>
      <c r="B66" s="42">
        <v>0.6</v>
      </c>
      <c r="C66" s="17">
        <v>20.421149241059737</v>
      </c>
      <c r="D66" s="13">
        <v>9.3182410690879375E-2</v>
      </c>
    </row>
    <row r="67" spans="1:4" x14ac:dyDescent="0.2">
      <c r="A67" s="43"/>
      <c r="B67" s="43"/>
      <c r="C67" s="18">
        <v>0.91283648191432809</v>
      </c>
      <c r="D67" s="14">
        <v>5.1463349226534172E-2</v>
      </c>
    </row>
    <row r="68" spans="1:4" x14ac:dyDescent="0.2">
      <c r="A68" s="42" t="s">
        <v>12</v>
      </c>
      <c r="B68" s="42">
        <v>0.7</v>
      </c>
      <c r="C68" s="17">
        <v>19.849683042334828</v>
      </c>
      <c r="D68" s="13">
        <v>0.11752572965180881</v>
      </c>
    </row>
    <row r="69" spans="1:4" x14ac:dyDescent="0.2">
      <c r="A69" s="43"/>
      <c r="B69" s="43"/>
      <c r="C69" s="18">
        <v>1.6744182593961157</v>
      </c>
      <c r="D69" s="14">
        <v>6.3404605940849013E-2</v>
      </c>
    </row>
    <row r="70" spans="1:4" x14ac:dyDescent="0.2">
      <c r="A70" s="42" t="s">
        <v>12</v>
      </c>
      <c r="B70" s="42">
        <v>0.8</v>
      </c>
      <c r="C70" s="17">
        <v>20.176212436747413</v>
      </c>
      <c r="D70" s="13">
        <v>0.11017078728107724</v>
      </c>
    </row>
    <row r="71" spans="1:4" x14ac:dyDescent="0.2">
      <c r="A71" s="43"/>
      <c r="B71" s="43"/>
      <c r="C71" s="18">
        <v>2.0054671531205339</v>
      </c>
      <c r="D71" s="14">
        <v>7.0988501033475065E-2</v>
      </c>
    </row>
    <row r="72" spans="1:4" x14ac:dyDescent="0.2">
      <c r="A72" s="42" t="s">
        <v>12</v>
      </c>
      <c r="B72" s="42">
        <v>0.9</v>
      </c>
      <c r="C72" s="17">
        <v>19.563847152343552</v>
      </c>
      <c r="D72" s="13">
        <v>0.13878555242542898</v>
      </c>
    </row>
    <row r="73" spans="1:4" x14ac:dyDescent="0.2">
      <c r="A73" s="43"/>
      <c r="B73" s="43"/>
      <c r="C73" s="18">
        <v>2.8541206888323787</v>
      </c>
      <c r="D73" s="14">
        <v>0.11059845798421845</v>
      </c>
    </row>
  </sheetData>
  <mergeCells count="72">
    <mergeCell ref="B12:B13"/>
    <mergeCell ref="A2:A3"/>
    <mergeCell ref="A4:A5"/>
    <mergeCell ref="A6:A7"/>
    <mergeCell ref="A8:A9"/>
    <mergeCell ref="A10:A11"/>
    <mergeCell ref="A12:A13"/>
    <mergeCell ref="B2:B3"/>
    <mergeCell ref="B4:B5"/>
    <mergeCell ref="B6:B7"/>
    <mergeCell ref="B8:B9"/>
    <mergeCell ref="B10:B11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EC9B-F917-1647-B1F9-F6E4AF4E1CE6}">
  <dimension ref="A1:F901"/>
  <sheetViews>
    <sheetView topLeftCell="A887" workbookViewId="0">
      <selection activeCell="E893" sqref="E893"/>
    </sheetView>
  </sheetViews>
  <sheetFormatPr baseColWidth="10" defaultRowHeight="16" x14ac:dyDescent="0.2"/>
  <cols>
    <col min="1" max="1" width="31.33203125" style="54" bestFit="1" customWidth="1"/>
  </cols>
  <sheetData>
    <row r="1" spans="1:6" ht="19" x14ac:dyDescent="0.25">
      <c r="A1" s="44" t="s">
        <v>4</v>
      </c>
      <c r="B1" s="44"/>
      <c r="C1" s="44"/>
      <c r="D1" s="44"/>
      <c r="E1" s="44"/>
      <c r="F1" s="44"/>
    </row>
    <row r="2" spans="1:6" x14ac:dyDescent="0.2">
      <c r="B2" s="22"/>
      <c r="C2" s="23"/>
      <c r="D2" s="22"/>
      <c r="E2" s="22"/>
      <c r="F2" s="23"/>
    </row>
    <row r="3" spans="1:6" x14ac:dyDescent="0.2">
      <c r="A3" s="54" t="s">
        <v>21</v>
      </c>
      <c r="B3" s="22"/>
      <c r="C3" s="23"/>
      <c r="D3" s="22"/>
      <c r="E3" s="22"/>
      <c r="F3" s="23"/>
    </row>
    <row r="4" spans="1:6" x14ac:dyDescent="0.2">
      <c r="B4" s="22"/>
      <c r="C4" s="23"/>
      <c r="D4" s="22"/>
      <c r="E4" s="22"/>
      <c r="F4" s="23"/>
    </row>
    <row r="5" spans="1:6" x14ac:dyDescent="0.2">
      <c r="A5" s="55" t="s">
        <v>22</v>
      </c>
      <c r="B5" s="24" t="s">
        <v>23</v>
      </c>
      <c r="C5" s="25" t="s">
        <v>24</v>
      </c>
      <c r="D5" s="24" t="s">
        <v>25</v>
      </c>
      <c r="E5" s="24" t="s">
        <v>26</v>
      </c>
      <c r="F5" s="25" t="s">
        <v>27</v>
      </c>
    </row>
    <row r="6" spans="1:6" x14ac:dyDescent="0.2">
      <c r="A6" s="54" t="s">
        <v>28</v>
      </c>
      <c r="B6">
        <v>7.4880000000000002E-2</v>
      </c>
      <c r="C6">
        <v>7.5</v>
      </c>
      <c r="D6">
        <v>6.6900000000000001E-2</v>
      </c>
      <c r="E6">
        <v>3.3300000000000003E-2</v>
      </c>
      <c r="F6">
        <v>46</v>
      </c>
    </row>
    <row r="7" spans="1:6" x14ac:dyDescent="0.2">
      <c r="A7" s="54" t="s">
        <v>29</v>
      </c>
      <c r="B7">
        <v>2.6360000000000001E-2</v>
      </c>
      <c r="C7">
        <v>2.6</v>
      </c>
      <c r="D7">
        <v>3.7310000000000003E-2</v>
      </c>
      <c r="E7">
        <v>3.836E-3</v>
      </c>
      <c r="F7">
        <v>25.7</v>
      </c>
    </row>
    <row r="8" spans="1:6" x14ac:dyDescent="0.2">
      <c r="A8" s="54" t="s">
        <v>30</v>
      </c>
      <c r="B8">
        <v>8.1350000000000006E-2</v>
      </c>
      <c r="C8">
        <v>8.1</v>
      </c>
      <c r="D8">
        <v>3.5499999999999997E-2</v>
      </c>
      <c r="E8">
        <v>3.0530000000000002E-2</v>
      </c>
      <c r="F8">
        <v>24.4</v>
      </c>
    </row>
    <row r="9" spans="1:6" x14ac:dyDescent="0.2">
      <c r="A9" s="54" t="s">
        <v>31</v>
      </c>
      <c r="B9">
        <v>5.5780000000000003E-2</v>
      </c>
      <c r="C9">
        <v>5.6</v>
      </c>
      <c r="D9">
        <v>1.7299999999999999E-2</v>
      </c>
      <c r="E9">
        <v>2.2290000000000001E-2</v>
      </c>
      <c r="F9">
        <v>11.9</v>
      </c>
    </row>
    <row r="10" spans="1:6" x14ac:dyDescent="0.2">
      <c r="A10" s="54" t="s">
        <v>32</v>
      </c>
      <c r="B10">
        <v>2.282E-2</v>
      </c>
      <c r="C10">
        <v>2.2999999999999998</v>
      </c>
      <c r="D10">
        <v>1.09E-2</v>
      </c>
      <c r="E10">
        <v>1.072E-2</v>
      </c>
      <c r="F10">
        <v>7.5</v>
      </c>
    </row>
    <row r="11" spans="1:6" x14ac:dyDescent="0.2">
      <c r="A11" s="54" t="s">
        <v>33</v>
      </c>
      <c r="B11">
        <v>2.0639999999999999E-2</v>
      </c>
      <c r="C11">
        <v>2.1</v>
      </c>
      <c r="D11">
        <v>1.0869999999999999E-2</v>
      </c>
      <c r="E11">
        <v>7.6689999999999996E-3</v>
      </c>
      <c r="F11">
        <v>7.5</v>
      </c>
    </row>
    <row r="12" spans="1:6" x14ac:dyDescent="0.2">
      <c r="A12" s="54" t="s">
        <v>34</v>
      </c>
      <c r="B12">
        <v>7.4180000000000001E-3</v>
      </c>
      <c r="C12">
        <v>0.7</v>
      </c>
      <c r="D12">
        <v>8.0800000000000004E-3</v>
      </c>
      <c r="E12">
        <v>4.143E-3</v>
      </c>
      <c r="F12">
        <v>5.6</v>
      </c>
    </row>
    <row r="13" spans="1:6" x14ac:dyDescent="0.2">
      <c r="A13" s="54" t="s">
        <v>35</v>
      </c>
      <c r="B13">
        <v>6.6E-3</v>
      </c>
      <c r="C13">
        <v>0.7</v>
      </c>
      <c r="D13">
        <v>6.8339999999999998E-3</v>
      </c>
      <c r="E13">
        <v>4.8849999999999996E-3</v>
      </c>
      <c r="F13">
        <v>4.7</v>
      </c>
    </row>
    <row r="14" spans="1:6" x14ac:dyDescent="0.2">
      <c r="A14" s="54" t="s">
        <v>36</v>
      </c>
      <c r="B14">
        <v>6.2880000000000002E-3</v>
      </c>
      <c r="C14">
        <v>0.6</v>
      </c>
      <c r="D14">
        <v>6.6169999999999996E-3</v>
      </c>
      <c r="E14">
        <v>3.068E-3</v>
      </c>
      <c r="F14">
        <v>4.5999999999999996</v>
      </c>
    </row>
    <row r="15" spans="1:6" x14ac:dyDescent="0.2">
      <c r="A15" s="54" t="s">
        <v>37</v>
      </c>
      <c r="B15">
        <v>5.6379999999999998E-3</v>
      </c>
      <c r="C15">
        <v>0.6</v>
      </c>
      <c r="D15">
        <v>5.9220000000000002E-3</v>
      </c>
      <c r="E15">
        <v>3.0850000000000001E-3</v>
      </c>
      <c r="F15">
        <v>4.0999999999999996</v>
      </c>
    </row>
    <row r="16" spans="1:6" x14ac:dyDescent="0.2">
      <c r="A16" s="54" t="s">
        <v>38</v>
      </c>
      <c r="B16">
        <v>1.6650000000000002E-2</v>
      </c>
      <c r="C16">
        <v>1.7</v>
      </c>
      <c r="D16">
        <v>5.8069999999999997E-3</v>
      </c>
      <c r="E16">
        <v>4.4650000000000002E-3</v>
      </c>
      <c r="F16">
        <v>4</v>
      </c>
    </row>
    <row r="17" spans="1:6" x14ac:dyDescent="0.2">
      <c r="A17" s="54" t="s">
        <v>39</v>
      </c>
      <c r="B17">
        <v>6.3680000000000004E-3</v>
      </c>
      <c r="C17">
        <v>0.6</v>
      </c>
      <c r="D17">
        <v>5.0369999999999998E-3</v>
      </c>
      <c r="E17">
        <v>2.8809999999999999E-3</v>
      </c>
      <c r="F17">
        <v>3.5</v>
      </c>
    </row>
    <row r="18" spans="1:6" x14ac:dyDescent="0.2">
      <c r="A18" s="54" t="s">
        <v>40</v>
      </c>
      <c r="B18">
        <v>8.1720000000000004E-3</v>
      </c>
      <c r="C18">
        <v>0.8</v>
      </c>
      <c r="D18">
        <v>4.9940000000000002E-3</v>
      </c>
      <c r="E18">
        <v>5.6270000000000001E-3</v>
      </c>
      <c r="F18">
        <v>3.4</v>
      </c>
    </row>
    <row r="19" spans="1:6" x14ac:dyDescent="0.2">
      <c r="A19" s="54" t="s">
        <v>41</v>
      </c>
      <c r="B19">
        <v>1.1509999999999999E-2</v>
      </c>
      <c r="C19">
        <v>1.2</v>
      </c>
      <c r="D19">
        <v>4.7780000000000001E-3</v>
      </c>
      <c r="E19">
        <v>5.4770000000000001E-3</v>
      </c>
      <c r="F19">
        <v>3.3</v>
      </c>
    </row>
    <row r="20" spans="1:6" x14ac:dyDescent="0.2">
      <c r="A20" s="54" t="s">
        <v>42</v>
      </c>
      <c r="B20">
        <v>1.1950000000000001E-2</v>
      </c>
      <c r="C20">
        <v>1.2</v>
      </c>
      <c r="D20">
        <v>4.4539999999999996E-3</v>
      </c>
      <c r="E20">
        <v>4.9189999999999998E-3</v>
      </c>
      <c r="F20">
        <v>3.1</v>
      </c>
    </row>
    <row r="21" spans="1:6" x14ac:dyDescent="0.2">
      <c r="A21" s="54" t="s">
        <v>43</v>
      </c>
      <c r="B21">
        <v>4.2750000000000002E-3</v>
      </c>
      <c r="C21">
        <v>0.4</v>
      </c>
      <c r="D21">
        <v>4.1479999999999998E-3</v>
      </c>
      <c r="E21">
        <v>1.2880000000000001E-3</v>
      </c>
      <c r="F21">
        <v>2.9</v>
      </c>
    </row>
    <row r="22" spans="1:6" x14ac:dyDescent="0.2">
      <c r="A22" s="54" t="s">
        <v>44</v>
      </c>
      <c r="B22">
        <v>1.0030000000000001E-2</v>
      </c>
      <c r="C22">
        <v>1</v>
      </c>
      <c r="D22">
        <v>3.8890000000000001E-3</v>
      </c>
      <c r="E22">
        <v>3.8149999999999998E-3</v>
      </c>
      <c r="F22">
        <v>2.7</v>
      </c>
    </row>
    <row r="23" spans="1:6" x14ac:dyDescent="0.2">
      <c r="A23" s="54" t="s">
        <v>45</v>
      </c>
      <c r="B23">
        <v>4.751E-3</v>
      </c>
      <c r="C23">
        <v>0.5</v>
      </c>
      <c r="D23">
        <v>3.7000000000000002E-3</v>
      </c>
      <c r="E23">
        <v>3.9350000000000001E-3</v>
      </c>
      <c r="F23">
        <v>2.5</v>
      </c>
    </row>
    <row r="24" spans="1:6" x14ac:dyDescent="0.2">
      <c r="A24" s="54" t="s">
        <v>46</v>
      </c>
      <c r="B24">
        <v>4.2310000000000004E-3</v>
      </c>
      <c r="C24">
        <v>0.4</v>
      </c>
      <c r="D24">
        <v>3.6449999999999998E-3</v>
      </c>
      <c r="E24">
        <v>3.1960000000000001E-3</v>
      </c>
      <c r="F24">
        <v>2.5</v>
      </c>
    </row>
    <row r="25" spans="1:6" x14ac:dyDescent="0.2">
      <c r="A25" s="54" t="s">
        <v>47</v>
      </c>
      <c r="B25">
        <v>2.3370000000000001E-3</v>
      </c>
      <c r="C25">
        <v>0.2</v>
      </c>
      <c r="D25">
        <v>3.5370000000000002E-3</v>
      </c>
      <c r="E25">
        <v>1.5120000000000001E-3</v>
      </c>
      <c r="F25">
        <v>2.4</v>
      </c>
    </row>
    <row r="26" spans="1:6" x14ac:dyDescent="0.2">
      <c r="A26" s="54" t="s">
        <v>48</v>
      </c>
      <c r="B26">
        <v>7.842E-3</v>
      </c>
      <c r="C26">
        <v>0.8</v>
      </c>
      <c r="D26">
        <v>3.3579999999999999E-3</v>
      </c>
      <c r="E26">
        <v>3.0079999999999998E-3</v>
      </c>
      <c r="F26">
        <v>2.2999999999999998</v>
      </c>
    </row>
    <row r="27" spans="1:6" x14ac:dyDescent="0.2">
      <c r="A27" s="54" t="s">
        <v>49</v>
      </c>
      <c r="B27">
        <v>3.3640000000000003E-2</v>
      </c>
      <c r="C27">
        <v>3.4</v>
      </c>
      <c r="D27">
        <v>3.3409999999999998E-3</v>
      </c>
      <c r="E27">
        <v>1.2189999999999999E-2</v>
      </c>
      <c r="F27">
        <v>2.2999999999999998</v>
      </c>
    </row>
    <row r="28" spans="1:6" x14ac:dyDescent="0.2">
      <c r="A28" s="54" t="s">
        <v>50</v>
      </c>
      <c r="B28">
        <v>1.343E-3</v>
      </c>
      <c r="C28">
        <v>0.1</v>
      </c>
      <c r="D28">
        <v>3.1580000000000002E-3</v>
      </c>
      <c r="E28">
        <v>5.932E-4</v>
      </c>
      <c r="F28">
        <v>2.2000000000000002</v>
      </c>
    </row>
    <row r="29" spans="1:6" x14ac:dyDescent="0.2">
      <c r="A29" s="54" t="s">
        <v>51</v>
      </c>
      <c r="B29">
        <v>3.6749999999999999E-3</v>
      </c>
      <c r="C29">
        <v>0.4</v>
      </c>
      <c r="D29">
        <v>3.1220000000000002E-3</v>
      </c>
      <c r="E29">
        <v>1.5809999999999999E-3</v>
      </c>
      <c r="F29">
        <v>2.1</v>
      </c>
    </row>
    <row r="30" spans="1:6" x14ac:dyDescent="0.2">
      <c r="A30" s="54" t="s">
        <v>52</v>
      </c>
      <c r="B30">
        <v>2.5240000000000002E-3</v>
      </c>
      <c r="C30">
        <v>0.3</v>
      </c>
      <c r="D30">
        <v>2.8300000000000001E-3</v>
      </c>
      <c r="E30">
        <v>7.4430000000000004E-4</v>
      </c>
      <c r="F30">
        <v>1.9</v>
      </c>
    </row>
    <row r="31" spans="1:6" x14ac:dyDescent="0.2">
      <c r="A31" s="54" t="s">
        <v>53</v>
      </c>
      <c r="B31">
        <v>1.034E-2</v>
      </c>
      <c r="C31">
        <v>1</v>
      </c>
      <c r="D31">
        <v>2.8270000000000001E-3</v>
      </c>
      <c r="E31">
        <v>4.7670000000000004E-3</v>
      </c>
      <c r="F31">
        <v>1.9</v>
      </c>
    </row>
    <row r="32" spans="1:6" x14ac:dyDescent="0.2">
      <c r="A32" s="54" t="s">
        <v>54</v>
      </c>
      <c r="B32">
        <v>5.4999999999999997E-3</v>
      </c>
      <c r="C32">
        <v>0.6</v>
      </c>
      <c r="D32">
        <v>2.7829999999999999E-3</v>
      </c>
      <c r="E32">
        <v>1.4989999999999999E-3</v>
      </c>
      <c r="F32">
        <v>1.9</v>
      </c>
    </row>
    <row r="33" spans="1:6" x14ac:dyDescent="0.2">
      <c r="A33" s="54" t="s">
        <v>55</v>
      </c>
      <c r="B33">
        <v>8.3289999999999996E-3</v>
      </c>
      <c r="C33">
        <v>0.8</v>
      </c>
      <c r="D33">
        <v>2.7209999999999999E-3</v>
      </c>
      <c r="E33">
        <v>3.1449999999999998E-3</v>
      </c>
      <c r="F33">
        <v>1.9</v>
      </c>
    </row>
    <row r="34" spans="1:6" x14ac:dyDescent="0.2">
      <c r="A34" s="54" t="s">
        <v>56</v>
      </c>
      <c r="B34">
        <v>6.6430000000000005E-4</v>
      </c>
      <c r="C34">
        <v>0.1</v>
      </c>
      <c r="D34">
        <v>2.643E-3</v>
      </c>
      <c r="E34">
        <v>4.3370000000000003E-4</v>
      </c>
      <c r="F34">
        <v>1.8</v>
      </c>
    </row>
    <row r="35" spans="1:6" x14ac:dyDescent="0.2">
      <c r="A35" s="54" t="s">
        <v>57</v>
      </c>
      <c r="B35">
        <v>6.3420000000000004E-3</v>
      </c>
      <c r="C35">
        <v>0.6</v>
      </c>
      <c r="D35">
        <v>2.5019999999999999E-3</v>
      </c>
      <c r="E35">
        <v>2.225E-3</v>
      </c>
      <c r="F35">
        <v>1.7</v>
      </c>
    </row>
    <row r="36" spans="1:6" x14ac:dyDescent="0.2">
      <c r="A36" s="54" t="s">
        <v>58</v>
      </c>
      <c r="B36">
        <v>1.2359999999999999E-3</v>
      </c>
      <c r="C36">
        <v>0.1</v>
      </c>
      <c r="D36">
        <v>2.4880000000000002E-3</v>
      </c>
      <c r="E36">
        <v>7.3360000000000005E-4</v>
      </c>
      <c r="F36">
        <v>1.7</v>
      </c>
    </row>
    <row r="37" spans="1:6" x14ac:dyDescent="0.2">
      <c r="A37" s="54" t="s">
        <v>59</v>
      </c>
      <c r="B37">
        <v>3.2980000000000002E-3</v>
      </c>
      <c r="C37">
        <v>0.3</v>
      </c>
      <c r="D37">
        <v>2.4120000000000001E-3</v>
      </c>
      <c r="E37">
        <v>1.426E-3</v>
      </c>
      <c r="F37">
        <v>1.7</v>
      </c>
    </row>
    <row r="38" spans="1:6" x14ac:dyDescent="0.2">
      <c r="A38" s="54" t="s">
        <v>60</v>
      </c>
      <c r="B38">
        <v>2.0070000000000001E-3</v>
      </c>
      <c r="C38">
        <v>0.2</v>
      </c>
      <c r="D38">
        <v>2.2659999999999998E-3</v>
      </c>
      <c r="E38">
        <v>4.0259999999999997E-4</v>
      </c>
      <c r="F38">
        <v>1.6</v>
      </c>
    </row>
    <row r="39" spans="1:6" x14ac:dyDescent="0.2">
      <c r="A39" s="54" t="s">
        <v>61</v>
      </c>
      <c r="B39">
        <v>7.9690000000000004E-3</v>
      </c>
      <c r="C39">
        <v>0.8</v>
      </c>
      <c r="D39">
        <v>2.1610000000000002E-3</v>
      </c>
      <c r="E39">
        <v>3.6250000000000002E-3</v>
      </c>
      <c r="F39">
        <v>1.5</v>
      </c>
    </row>
    <row r="40" spans="1:6" x14ac:dyDescent="0.2">
      <c r="A40" s="54" t="s">
        <v>62</v>
      </c>
      <c r="B40">
        <v>3.627E-3</v>
      </c>
      <c r="C40">
        <v>0.4</v>
      </c>
      <c r="D40">
        <v>2.16E-3</v>
      </c>
      <c r="E40">
        <v>9.5390000000000004E-4</v>
      </c>
      <c r="F40">
        <v>1.5</v>
      </c>
    </row>
    <row r="41" spans="1:6" x14ac:dyDescent="0.2">
      <c r="A41" s="54" t="s">
        <v>63</v>
      </c>
      <c r="B41">
        <v>1.462E-3</v>
      </c>
      <c r="C41">
        <v>0.1</v>
      </c>
      <c r="D41">
        <v>2.1229999999999999E-3</v>
      </c>
      <c r="E41">
        <v>1.0250000000000001E-3</v>
      </c>
      <c r="F41">
        <v>1.5</v>
      </c>
    </row>
    <row r="42" spans="1:6" x14ac:dyDescent="0.2">
      <c r="A42" s="54" t="s">
        <v>64</v>
      </c>
      <c r="B42">
        <v>6.953E-3</v>
      </c>
      <c r="C42">
        <v>0.7</v>
      </c>
      <c r="D42">
        <v>2.0790000000000001E-3</v>
      </c>
      <c r="E42">
        <v>3.3860000000000001E-3</v>
      </c>
      <c r="F42">
        <v>1.4</v>
      </c>
    </row>
    <row r="43" spans="1:6" x14ac:dyDescent="0.2">
      <c r="A43" s="54" t="s">
        <v>65</v>
      </c>
      <c r="B43">
        <v>5.1050000000000002E-3</v>
      </c>
      <c r="C43">
        <v>0.5</v>
      </c>
      <c r="D43">
        <v>1.91E-3</v>
      </c>
      <c r="E43">
        <v>4.261E-3</v>
      </c>
      <c r="F43">
        <v>1.3</v>
      </c>
    </row>
    <row r="44" spans="1:6" x14ac:dyDescent="0.2">
      <c r="A44" s="54" t="s">
        <v>66</v>
      </c>
      <c r="B44">
        <v>4.3249999999999999E-3</v>
      </c>
      <c r="C44">
        <v>0.4</v>
      </c>
      <c r="D44">
        <v>1.908E-3</v>
      </c>
      <c r="E44">
        <v>1.392E-3</v>
      </c>
      <c r="F44">
        <v>1.3</v>
      </c>
    </row>
    <row r="45" spans="1:6" x14ac:dyDescent="0.2">
      <c r="A45" s="54" t="s">
        <v>67</v>
      </c>
      <c r="B45">
        <v>2.2269999999999998E-3</v>
      </c>
      <c r="C45">
        <v>0.2</v>
      </c>
      <c r="D45">
        <v>1.8320000000000001E-3</v>
      </c>
      <c r="E45">
        <v>6.9999999999999999E-4</v>
      </c>
      <c r="F45">
        <v>1.3</v>
      </c>
    </row>
    <row r="46" spans="1:6" x14ac:dyDescent="0.2">
      <c r="A46" s="54" t="s">
        <v>68</v>
      </c>
      <c r="B46">
        <v>4.0119999999999999E-4</v>
      </c>
      <c r="C46">
        <v>0</v>
      </c>
      <c r="D46">
        <v>1.828E-3</v>
      </c>
      <c r="E46" s="2">
        <v>7.462E-5</v>
      </c>
      <c r="F46">
        <v>1.3</v>
      </c>
    </row>
    <row r="47" spans="1:6" x14ac:dyDescent="0.2">
      <c r="A47" s="54" t="s">
        <v>69</v>
      </c>
      <c r="B47">
        <v>9.0339999999999995E-4</v>
      </c>
      <c r="C47">
        <v>0.1</v>
      </c>
      <c r="D47">
        <v>1.686E-3</v>
      </c>
      <c r="E47">
        <v>1.596E-3</v>
      </c>
      <c r="F47">
        <v>1.2</v>
      </c>
    </row>
    <row r="48" spans="1:6" x14ac:dyDescent="0.2">
      <c r="A48" s="54" t="s">
        <v>70</v>
      </c>
      <c r="B48">
        <v>2.1940000000000002E-3</v>
      </c>
      <c r="C48">
        <v>0.2</v>
      </c>
      <c r="D48">
        <v>1.6670000000000001E-3</v>
      </c>
      <c r="E48">
        <v>1.225E-3</v>
      </c>
      <c r="F48">
        <v>1.1000000000000001</v>
      </c>
    </row>
    <row r="49" spans="1:6" x14ac:dyDescent="0.2">
      <c r="A49" s="54" t="s">
        <v>71</v>
      </c>
      <c r="B49">
        <v>1.075E-3</v>
      </c>
      <c r="C49">
        <v>0.1</v>
      </c>
      <c r="D49">
        <v>1.6299999999999999E-3</v>
      </c>
      <c r="E49">
        <v>7.5279999999999998E-4</v>
      </c>
      <c r="F49">
        <v>1.1000000000000001</v>
      </c>
    </row>
    <row r="50" spans="1:6" x14ac:dyDescent="0.2">
      <c r="A50" s="54" t="s">
        <v>72</v>
      </c>
      <c r="B50">
        <v>2.9030000000000002E-3</v>
      </c>
      <c r="C50">
        <v>0.3</v>
      </c>
      <c r="D50">
        <v>1.6069999999999999E-3</v>
      </c>
      <c r="E50">
        <v>8.0940000000000005E-4</v>
      </c>
      <c r="F50">
        <v>1.1000000000000001</v>
      </c>
    </row>
    <row r="51" spans="1:6" x14ac:dyDescent="0.2">
      <c r="A51" s="54" t="s">
        <v>73</v>
      </c>
      <c r="B51">
        <v>6.4070000000000002E-4</v>
      </c>
      <c r="C51">
        <v>0.1</v>
      </c>
      <c r="D51">
        <v>1.5640000000000001E-3</v>
      </c>
      <c r="E51">
        <v>8.2359999999999996E-4</v>
      </c>
      <c r="F51">
        <v>1.1000000000000001</v>
      </c>
    </row>
    <row r="52" spans="1:6" x14ac:dyDescent="0.2">
      <c r="A52" s="54" t="s">
        <v>74</v>
      </c>
      <c r="B52">
        <v>3.934E-3</v>
      </c>
      <c r="C52">
        <v>0.4</v>
      </c>
      <c r="D52">
        <v>1.5610000000000001E-3</v>
      </c>
      <c r="E52">
        <v>1.17E-3</v>
      </c>
      <c r="F52">
        <v>1.1000000000000001</v>
      </c>
    </row>
    <row r="53" spans="1:6" x14ac:dyDescent="0.2">
      <c r="A53" s="54" t="s">
        <v>75</v>
      </c>
      <c r="B53">
        <v>7.7839999999999995E-4</v>
      </c>
      <c r="C53">
        <v>0.1</v>
      </c>
      <c r="D53">
        <v>1.5020000000000001E-3</v>
      </c>
      <c r="E53">
        <v>6.1359999999999995E-4</v>
      </c>
      <c r="F53">
        <v>1</v>
      </c>
    </row>
    <row r="54" spans="1:6" x14ac:dyDescent="0.2">
      <c r="A54" s="54" t="s">
        <v>76</v>
      </c>
      <c r="B54">
        <v>9.992E-4</v>
      </c>
      <c r="C54">
        <v>0.1</v>
      </c>
      <c r="D54">
        <v>1.4909999999999999E-3</v>
      </c>
      <c r="E54">
        <v>1.1299999999999999E-3</v>
      </c>
      <c r="F54">
        <v>1</v>
      </c>
    </row>
    <row r="55" spans="1:6" x14ac:dyDescent="0.2">
      <c r="A55" s="54" t="s">
        <v>77</v>
      </c>
      <c r="B55">
        <v>2.5279999999999999E-3</v>
      </c>
      <c r="C55">
        <v>0.3</v>
      </c>
      <c r="D55">
        <v>1.457E-3</v>
      </c>
      <c r="E55">
        <v>1.0399999999999999E-3</v>
      </c>
      <c r="F55">
        <v>1</v>
      </c>
    </row>
    <row r="56" spans="1:6" x14ac:dyDescent="0.2">
      <c r="A56" s="54" t="s">
        <v>78</v>
      </c>
      <c r="B56">
        <v>1.054E-3</v>
      </c>
      <c r="C56">
        <v>0.1</v>
      </c>
      <c r="D56">
        <v>1.407E-3</v>
      </c>
      <c r="E56">
        <v>9.456E-4</v>
      </c>
      <c r="F56">
        <v>1</v>
      </c>
    </row>
    <row r="57" spans="1:6" x14ac:dyDescent="0.2">
      <c r="A57" s="54" t="s">
        <v>79</v>
      </c>
      <c r="B57">
        <v>4.415E-4</v>
      </c>
      <c r="C57">
        <v>0</v>
      </c>
      <c r="D57">
        <v>1.351E-3</v>
      </c>
      <c r="E57">
        <v>4.17E-4</v>
      </c>
      <c r="F57">
        <v>0.9</v>
      </c>
    </row>
    <row r="58" spans="1:6" x14ac:dyDescent="0.2">
      <c r="A58" s="54" t="s">
        <v>80</v>
      </c>
      <c r="B58">
        <v>7.2039999999999995E-4</v>
      </c>
      <c r="C58">
        <v>0.1</v>
      </c>
      <c r="D58">
        <v>1.2329999999999999E-3</v>
      </c>
      <c r="E58">
        <v>5.6510000000000002E-4</v>
      </c>
      <c r="F58">
        <v>0.8</v>
      </c>
    </row>
    <row r="59" spans="1:6" x14ac:dyDescent="0.2">
      <c r="A59" s="54" t="s">
        <v>81</v>
      </c>
      <c r="B59">
        <v>5.4460000000000003E-3</v>
      </c>
      <c r="C59">
        <v>0.5</v>
      </c>
      <c r="D59">
        <v>1.2279999999999999E-3</v>
      </c>
      <c r="E59">
        <v>2.9750000000000002E-3</v>
      </c>
      <c r="F59">
        <v>0.8</v>
      </c>
    </row>
    <row r="60" spans="1:6" x14ac:dyDescent="0.2">
      <c r="A60" s="54" t="s">
        <v>82</v>
      </c>
      <c r="B60">
        <v>9.3849999999999999E-4</v>
      </c>
      <c r="C60">
        <v>0.1</v>
      </c>
      <c r="D60">
        <v>1.175E-3</v>
      </c>
      <c r="E60">
        <v>7.1000000000000002E-4</v>
      </c>
      <c r="F60">
        <v>0.8</v>
      </c>
    </row>
    <row r="61" spans="1:6" x14ac:dyDescent="0.2">
      <c r="A61" s="54" t="s">
        <v>83</v>
      </c>
      <c r="B61">
        <v>4.5879999999999998E-4</v>
      </c>
      <c r="C61">
        <v>0</v>
      </c>
      <c r="D61">
        <v>1.0820000000000001E-3</v>
      </c>
      <c r="E61">
        <v>1.7129999999999999E-4</v>
      </c>
      <c r="F61">
        <v>0.7</v>
      </c>
    </row>
    <row r="62" spans="1:6" x14ac:dyDescent="0.2">
      <c r="A62" s="54" t="s">
        <v>84</v>
      </c>
      <c r="B62">
        <v>1.696E-4</v>
      </c>
      <c r="C62">
        <v>0</v>
      </c>
      <c r="D62">
        <v>1.0280000000000001E-3</v>
      </c>
      <c r="E62">
        <v>4.8549999999999998E-4</v>
      </c>
      <c r="F62">
        <v>0.7</v>
      </c>
    </row>
    <row r="63" spans="1:6" x14ac:dyDescent="0.2">
      <c r="A63" s="54" t="s">
        <v>85</v>
      </c>
      <c r="B63">
        <v>8.7399999999999999E-4</v>
      </c>
      <c r="C63">
        <v>0.1</v>
      </c>
      <c r="D63">
        <v>1.0219999999999999E-3</v>
      </c>
      <c r="E63">
        <v>8.2370000000000002E-4</v>
      </c>
      <c r="F63">
        <v>0.7</v>
      </c>
    </row>
    <row r="64" spans="1:6" x14ac:dyDescent="0.2">
      <c r="A64" s="54" t="s">
        <v>86</v>
      </c>
      <c r="B64">
        <v>1.366E-3</v>
      </c>
      <c r="C64">
        <v>0.1</v>
      </c>
      <c r="D64">
        <v>9.1980000000000002E-4</v>
      </c>
      <c r="E64">
        <v>9.9630000000000009E-4</v>
      </c>
      <c r="F64">
        <v>0.6</v>
      </c>
    </row>
    <row r="65" spans="1:6" x14ac:dyDescent="0.2">
      <c r="A65" s="54" t="s">
        <v>87</v>
      </c>
      <c r="B65">
        <v>3.6670000000000002E-4</v>
      </c>
      <c r="C65">
        <v>0</v>
      </c>
      <c r="D65">
        <v>8.9340000000000003E-4</v>
      </c>
      <c r="E65">
        <v>4.9589999999999996E-4</v>
      </c>
      <c r="F65">
        <v>0.6</v>
      </c>
    </row>
    <row r="66" spans="1:6" x14ac:dyDescent="0.2">
      <c r="A66" s="54" t="s">
        <v>88</v>
      </c>
      <c r="B66">
        <v>3.336E-3</v>
      </c>
      <c r="C66">
        <v>0.3</v>
      </c>
      <c r="D66">
        <v>8.6799999999999996E-4</v>
      </c>
      <c r="E66">
        <v>2.1840000000000002E-3</v>
      </c>
      <c r="F66">
        <v>0.6</v>
      </c>
    </row>
    <row r="67" spans="1:6" x14ac:dyDescent="0.2">
      <c r="A67" s="54" t="s">
        <v>89</v>
      </c>
      <c r="B67">
        <v>2.9520000000000002E-4</v>
      </c>
      <c r="C67">
        <v>0</v>
      </c>
      <c r="D67">
        <v>8.4150000000000002E-4</v>
      </c>
      <c r="E67">
        <v>1.6569999999999999E-4</v>
      </c>
      <c r="F67">
        <v>0.6</v>
      </c>
    </row>
    <row r="68" spans="1:6" x14ac:dyDescent="0.2">
      <c r="A68" s="54" t="s">
        <v>90</v>
      </c>
      <c r="B68">
        <v>8.5050000000000002E-4</v>
      </c>
      <c r="C68">
        <v>0.1</v>
      </c>
      <c r="D68">
        <v>8.3569999999999998E-4</v>
      </c>
      <c r="E68">
        <v>7.1400000000000001E-4</v>
      </c>
      <c r="F68">
        <v>0.6</v>
      </c>
    </row>
    <row r="69" spans="1:6" x14ac:dyDescent="0.2">
      <c r="A69" s="54" t="s">
        <v>91</v>
      </c>
      <c r="B69">
        <v>5.4390000000000005E-4</v>
      </c>
      <c r="C69">
        <v>0.1</v>
      </c>
      <c r="D69">
        <v>8.2549999999999995E-4</v>
      </c>
      <c r="E69">
        <v>2.232E-4</v>
      </c>
      <c r="F69">
        <v>0.6</v>
      </c>
    </row>
    <row r="70" spans="1:6" x14ac:dyDescent="0.2">
      <c r="A70" s="54" t="s">
        <v>92</v>
      </c>
      <c r="B70">
        <v>8.7989999999999997E-4</v>
      </c>
      <c r="C70">
        <v>0.1</v>
      </c>
      <c r="D70">
        <v>8.2220000000000004E-4</v>
      </c>
      <c r="E70">
        <v>1.0250000000000001E-3</v>
      </c>
      <c r="F70">
        <v>0.6</v>
      </c>
    </row>
    <row r="71" spans="1:6" x14ac:dyDescent="0.2">
      <c r="A71" s="54" t="s">
        <v>93</v>
      </c>
      <c r="B71">
        <v>1.2600000000000001E-3</v>
      </c>
      <c r="C71">
        <v>0.1</v>
      </c>
      <c r="D71">
        <v>7.9160000000000005E-4</v>
      </c>
      <c r="E71">
        <v>6.2469999999999995E-4</v>
      </c>
      <c r="F71">
        <v>0.5</v>
      </c>
    </row>
    <row r="72" spans="1:6" x14ac:dyDescent="0.2">
      <c r="A72" s="54" t="s">
        <v>94</v>
      </c>
      <c r="B72">
        <v>4.505E-4</v>
      </c>
      <c r="C72">
        <v>0</v>
      </c>
      <c r="D72">
        <v>7.7890000000000001E-4</v>
      </c>
      <c r="E72">
        <v>3.7189999999999999E-4</v>
      </c>
      <c r="F72">
        <v>0.5</v>
      </c>
    </row>
    <row r="73" spans="1:6" x14ac:dyDescent="0.2">
      <c r="A73" s="54" t="s">
        <v>95</v>
      </c>
      <c r="B73">
        <v>2.6620000000000002E-4</v>
      </c>
      <c r="C73">
        <v>0</v>
      </c>
      <c r="D73">
        <v>7.7519999999999998E-4</v>
      </c>
      <c r="E73">
        <v>2.0029999999999999E-4</v>
      </c>
      <c r="F73">
        <v>0.5</v>
      </c>
    </row>
    <row r="74" spans="1:6" x14ac:dyDescent="0.2">
      <c r="A74" s="54" t="s">
        <v>96</v>
      </c>
      <c r="B74">
        <v>5.9380000000000001E-4</v>
      </c>
      <c r="C74">
        <v>0.1</v>
      </c>
      <c r="D74">
        <v>7.7300000000000003E-4</v>
      </c>
      <c r="E74">
        <v>2.375E-4</v>
      </c>
      <c r="F74">
        <v>0.5</v>
      </c>
    </row>
    <row r="75" spans="1:6" x14ac:dyDescent="0.2">
      <c r="A75" s="54" t="s">
        <v>97</v>
      </c>
      <c r="B75">
        <v>2.7700000000000001E-4</v>
      </c>
      <c r="C75">
        <v>0</v>
      </c>
      <c r="D75">
        <v>7.6139999999999997E-4</v>
      </c>
      <c r="E75">
        <v>3.9849999999999998E-4</v>
      </c>
      <c r="F75">
        <v>0.5</v>
      </c>
    </row>
    <row r="76" spans="1:6" x14ac:dyDescent="0.2">
      <c r="A76" s="54" t="s">
        <v>98</v>
      </c>
      <c r="B76">
        <v>1.2359999999999999E-3</v>
      </c>
      <c r="C76">
        <v>0.1</v>
      </c>
      <c r="D76">
        <v>7.5029999999999997E-4</v>
      </c>
      <c r="E76">
        <v>4.3310000000000001E-4</v>
      </c>
      <c r="F76">
        <v>0.5</v>
      </c>
    </row>
    <row r="77" spans="1:6" x14ac:dyDescent="0.2">
      <c r="A77" s="54" t="s">
        <v>99</v>
      </c>
      <c r="B77">
        <v>4.8430000000000001E-4</v>
      </c>
      <c r="C77">
        <v>0</v>
      </c>
      <c r="D77">
        <v>7.4160000000000003E-4</v>
      </c>
      <c r="E77">
        <v>4.148E-4</v>
      </c>
      <c r="F77">
        <v>0.5</v>
      </c>
    </row>
    <row r="78" spans="1:6" x14ac:dyDescent="0.2">
      <c r="A78" s="54" t="s">
        <v>100</v>
      </c>
      <c r="B78">
        <v>1.0059999999999999E-3</v>
      </c>
      <c r="C78">
        <v>0.1</v>
      </c>
      <c r="D78">
        <v>7.2449999999999999E-4</v>
      </c>
      <c r="E78">
        <v>7.8069999999999995E-4</v>
      </c>
      <c r="F78">
        <v>0.5</v>
      </c>
    </row>
    <row r="79" spans="1:6" x14ac:dyDescent="0.2">
      <c r="A79" s="54" t="s">
        <v>101</v>
      </c>
      <c r="B79">
        <v>3.0929999999999998E-4</v>
      </c>
      <c r="C79">
        <v>0</v>
      </c>
      <c r="D79">
        <v>6.9830000000000001E-4</v>
      </c>
      <c r="E79">
        <v>1.237E-4</v>
      </c>
      <c r="F79">
        <v>0.5</v>
      </c>
    </row>
    <row r="80" spans="1:6" x14ac:dyDescent="0.2">
      <c r="A80" s="54" t="s">
        <v>102</v>
      </c>
      <c r="B80">
        <v>5.4440000000000001E-4</v>
      </c>
      <c r="C80">
        <v>0.1</v>
      </c>
      <c r="D80">
        <v>6.8860000000000004E-4</v>
      </c>
      <c r="E80">
        <v>4.258E-4</v>
      </c>
      <c r="F80">
        <v>0.5</v>
      </c>
    </row>
    <row r="81" spans="1:6" x14ac:dyDescent="0.2">
      <c r="A81" s="54" t="s">
        <v>103</v>
      </c>
      <c r="B81">
        <v>2.0449999999999999E-3</v>
      </c>
      <c r="C81">
        <v>0.2</v>
      </c>
      <c r="D81">
        <v>6.845E-4</v>
      </c>
      <c r="E81">
        <v>9.6000000000000002E-4</v>
      </c>
      <c r="F81">
        <v>0.5</v>
      </c>
    </row>
    <row r="82" spans="1:6" x14ac:dyDescent="0.2">
      <c r="A82" s="54" t="s">
        <v>104</v>
      </c>
      <c r="B82">
        <v>4.347E-4</v>
      </c>
      <c r="C82">
        <v>0</v>
      </c>
      <c r="D82">
        <v>6.8340000000000002E-4</v>
      </c>
      <c r="E82">
        <v>4.2939999999999997E-4</v>
      </c>
      <c r="F82">
        <v>0.5</v>
      </c>
    </row>
    <row r="83" spans="1:6" x14ac:dyDescent="0.2">
      <c r="A83" s="54" t="s">
        <v>105</v>
      </c>
      <c r="B83">
        <v>1.8489999999999999E-3</v>
      </c>
      <c r="C83">
        <v>0.2</v>
      </c>
      <c r="D83">
        <v>6.7960000000000004E-4</v>
      </c>
      <c r="E83">
        <v>1.163E-3</v>
      </c>
      <c r="F83">
        <v>0.5</v>
      </c>
    </row>
    <row r="84" spans="1:6" x14ac:dyDescent="0.2">
      <c r="A84" s="54" t="s">
        <v>106</v>
      </c>
      <c r="B84">
        <v>1.484E-4</v>
      </c>
      <c r="C84">
        <v>0</v>
      </c>
      <c r="D84">
        <v>6.6989999999999997E-4</v>
      </c>
      <c r="E84" s="2">
        <v>4.6020000000000003E-5</v>
      </c>
      <c r="F84">
        <v>0.5</v>
      </c>
    </row>
    <row r="85" spans="1:6" x14ac:dyDescent="0.2">
      <c r="A85" s="54" t="s">
        <v>107</v>
      </c>
      <c r="B85">
        <v>4.4010000000000002E-4</v>
      </c>
      <c r="C85">
        <v>0</v>
      </c>
      <c r="D85">
        <v>6.6089999999999996E-4</v>
      </c>
      <c r="E85">
        <v>2.6659999999999998E-4</v>
      </c>
      <c r="F85">
        <v>0.5</v>
      </c>
    </row>
    <row r="86" spans="1:6" x14ac:dyDescent="0.2">
      <c r="A86" s="54" t="s">
        <v>108</v>
      </c>
      <c r="B86">
        <v>4.3750000000000004E-3</v>
      </c>
      <c r="C86">
        <v>0.4</v>
      </c>
      <c r="D86">
        <v>6.0050000000000001E-4</v>
      </c>
      <c r="E86">
        <v>1.302E-3</v>
      </c>
      <c r="F86">
        <v>0.4</v>
      </c>
    </row>
    <row r="87" spans="1:6" x14ac:dyDescent="0.2">
      <c r="A87" s="54" t="s">
        <v>109</v>
      </c>
      <c r="B87">
        <v>1.34E-3</v>
      </c>
      <c r="C87">
        <v>0.1</v>
      </c>
      <c r="D87">
        <v>5.687E-4</v>
      </c>
      <c r="E87">
        <v>5.5670000000000003E-4</v>
      </c>
      <c r="F87">
        <v>0.4</v>
      </c>
    </row>
    <row r="88" spans="1:6" x14ac:dyDescent="0.2">
      <c r="A88" s="54" t="s">
        <v>110</v>
      </c>
      <c r="B88">
        <v>6.2E-4</v>
      </c>
      <c r="C88">
        <v>0.1</v>
      </c>
      <c r="D88">
        <v>5.6590000000000004E-4</v>
      </c>
      <c r="E88">
        <v>4.4670000000000002E-4</v>
      </c>
      <c r="F88">
        <v>0.4</v>
      </c>
    </row>
    <row r="89" spans="1:6" x14ac:dyDescent="0.2">
      <c r="A89" s="54" t="s">
        <v>111</v>
      </c>
      <c r="B89">
        <v>2.3729999999999999E-4</v>
      </c>
      <c r="C89">
        <v>0</v>
      </c>
      <c r="D89">
        <v>5.5800000000000001E-4</v>
      </c>
      <c r="E89">
        <v>4.8450000000000001E-4</v>
      </c>
      <c r="F89">
        <v>0.4</v>
      </c>
    </row>
    <row r="90" spans="1:6" x14ac:dyDescent="0.2">
      <c r="A90" s="54" t="s">
        <v>112</v>
      </c>
      <c r="B90">
        <v>2.1199999999999999E-3</v>
      </c>
      <c r="C90">
        <v>0.2</v>
      </c>
      <c r="D90">
        <v>5.4449999999999995E-4</v>
      </c>
      <c r="E90">
        <v>9.5819999999999998E-4</v>
      </c>
      <c r="F90">
        <v>0.4</v>
      </c>
    </row>
    <row r="91" spans="1:6" x14ac:dyDescent="0.2">
      <c r="A91" s="54" t="s">
        <v>113</v>
      </c>
      <c r="B91">
        <v>7.7619999999999998E-3</v>
      </c>
      <c r="C91">
        <v>0.8</v>
      </c>
      <c r="D91">
        <v>5.1500000000000005E-4</v>
      </c>
      <c r="E91">
        <v>2.1649999999999998E-3</v>
      </c>
      <c r="F91">
        <v>0.4</v>
      </c>
    </row>
    <row r="92" spans="1:6" x14ac:dyDescent="0.2">
      <c r="A92" s="54" t="s">
        <v>114</v>
      </c>
      <c r="B92">
        <v>2.0909999999999999E-4</v>
      </c>
      <c r="C92">
        <v>0</v>
      </c>
      <c r="D92">
        <v>5.0509999999999997E-4</v>
      </c>
      <c r="E92">
        <v>3.1139999999999998E-4</v>
      </c>
      <c r="F92">
        <v>0.3</v>
      </c>
    </row>
    <row r="93" spans="1:6" x14ac:dyDescent="0.2">
      <c r="A93" s="54" t="s">
        <v>115</v>
      </c>
      <c r="B93">
        <v>4.2470000000000002E-4</v>
      </c>
      <c r="C93">
        <v>0</v>
      </c>
      <c r="D93">
        <v>4.816E-4</v>
      </c>
      <c r="E93">
        <v>4.8650000000000001E-4</v>
      </c>
      <c r="F93">
        <v>0.3</v>
      </c>
    </row>
    <row r="94" spans="1:6" x14ac:dyDescent="0.2">
      <c r="A94" s="54" t="s">
        <v>116</v>
      </c>
      <c r="B94">
        <v>2.7300000000000002E-4</v>
      </c>
      <c r="C94">
        <v>0</v>
      </c>
      <c r="D94">
        <v>4.7639999999999998E-4</v>
      </c>
      <c r="E94">
        <v>1.3469999999999999E-4</v>
      </c>
      <c r="F94">
        <v>0.3</v>
      </c>
    </row>
    <row r="95" spans="1:6" x14ac:dyDescent="0.2">
      <c r="A95" s="54" t="s">
        <v>117</v>
      </c>
      <c r="B95" s="2">
        <v>8.3120000000000004E-5</v>
      </c>
      <c r="C95">
        <v>0</v>
      </c>
      <c r="D95">
        <v>4.6880000000000001E-4</v>
      </c>
      <c r="E95" s="2">
        <v>7.4540000000000001E-5</v>
      </c>
      <c r="F95">
        <v>0.3</v>
      </c>
    </row>
    <row r="96" spans="1:6" x14ac:dyDescent="0.2">
      <c r="A96" s="54" t="s">
        <v>118</v>
      </c>
      <c r="B96">
        <v>2.9149999999999998E-4</v>
      </c>
      <c r="C96">
        <v>0</v>
      </c>
      <c r="D96">
        <v>4.6789999999999999E-4</v>
      </c>
      <c r="E96">
        <v>1.009E-4</v>
      </c>
      <c r="F96">
        <v>0.3</v>
      </c>
    </row>
    <row r="97" spans="1:6" x14ac:dyDescent="0.2">
      <c r="A97" s="54" t="s">
        <v>119</v>
      </c>
      <c r="B97">
        <v>1.572E-4</v>
      </c>
      <c r="C97">
        <v>0</v>
      </c>
      <c r="D97">
        <v>4.6410000000000001E-4</v>
      </c>
      <c r="E97">
        <v>5.373E-4</v>
      </c>
      <c r="F97">
        <v>0.3</v>
      </c>
    </row>
    <row r="98" spans="1:6" x14ac:dyDescent="0.2">
      <c r="A98" s="54" t="s">
        <v>120</v>
      </c>
      <c r="B98">
        <v>3.8929999999999998E-4</v>
      </c>
      <c r="C98">
        <v>0</v>
      </c>
      <c r="D98">
        <v>4.5849999999999998E-4</v>
      </c>
      <c r="E98">
        <v>3.0739999999999999E-4</v>
      </c>
      <c r="F98">
        <v>0.3</v>
      </c>
    </row>
    <row r="99" spans="1:6" x14ac:dyDescent="0.2">
      <c r="A99" s="54" t="s">
        <v>121</v>
      </c>
      <c r="B99">
        <v>2.1900000000000001E-3</v>
      </c>
      <c r="C99">
        <v>0.2</v>
      </c>
      <c r="D99">
        <v>4.4329999999999999E-4</v>
      </c>
      <c r="E99">
        <v>9.969E-4</v>
      </c>
      <c r="F99">
        <v>0.3</v>
      </c>
    </row>
    <row r="100" spans="1:6" x14ac:dyDescent="0.2">
      <c r="A100" s="54" t="s">
        <v>122</v>
      </c>
      <c r="B100">
        <v>3.5730000000000001E-4</v>
      </c>
      <c r="C100">
        <v>0</v>
      </c>
      <c r="D100">
        <v>4.4099999999999999E-4</v>
      </c>
      <c r="E100">
        <v>2.4649999999999997E-4</v>
      </c>
      <c r="F100">
        <v>0.3</v>
      </c>
    </row>
    <row r="101" spans="1:6" x14ac:dyDescent="0.2">
      <c r="A101" s="54" t="s">
        <v>123</v>
      </c>
      <c r="B101">
        <v>1.0510000000000001E-3</v>
      </c>
      <c r="C101">
        <v>0.1</v>
      </c>
      <c r="D101">
        <v>4.2999999999999999E-4</v>
      </c>
      <c r="E101">
        <v>6.3250000000000003E-4</v>
      </c>
      <c r="F101">
        <v>0.3</v>
      </c>
    </row>
    <row r="102" spans="1:6" x14ac:dyDescent="0.2">
      <c r="A102" s="54" t="s">
        <v>124</v>
      </c>
      <c r="B102">
        <v>5.0229999999999997E-3</v>
      </c>
      <c r="C102">
        <v>0.5</v>
      </c>
      <c r="D102">
        <v>4.0030000000000003E-4</v>
      </c>
      <c r="E102">
        <v>1.74E-3</v>
      </c>
      <c r="F102">
        <v>0.3</v>
      </c>
    </row>
    <row r="103" spans="1:6" x14ac:dyDescent="0.2">
      <c r="A103" s="54" t="s">
        <v>125</v>
      </c>
      <c r="B103">
        <v>7.651E-4</v>
      </c>
      <c r="C103">
        <v>0.1</v>
      </c>
      <c r="D103">
        <v>3.8850000000000001E-4</v>
      </c>
      <c r="E103">
        <v>1.9E-3</v>
      </c>
      <c r="F103">
        <v>0.3</v>
      </c>
    </row>
    <row r="104" spans="1:6" x14ac:dyDescent="0.2">
      <c r="A104" s="54" t="s">
        <v>126</v>
      </c>
      <c r="B104" s="2">
        <v>6.0600000000000003E-5</v>
      </c>
      <c r="C104">
        <v>0</v>
      </c>
      <c r="D104">
        <v>3.8400000000000001E-4</v>
      </c>
      <c r="E104">
        <v>2.8929999999999998E-4</v>
      </c>
      <c r="F104">
        <v>0.3</v>
      </c>
    </row>
    <row r="105" spans="1:6" x14ac:dyDescent="0.2">
      <c r="A105" s="54" t="s">
        <v>127</v>
      </c>
      <c r="B105">
        <v>8.9939999999999996E-4</v>
      </c>
      <c r="C105">
        <v>0.1</v>
      </c>
      <c r="D105">
        <v>3.8029999999999997E-4</v>
      </c>
      <c r="E105">
        <v>8.1530000000000003E-4</v>
      </c>
      <c r="F105">
        <v>0.3</v>
      </c>
    </row>
    <row r="106" spans="1:6" x14ac:dyDescent="0.2">
      <c r="A106" s="54" t="s">
        <v>128</v>
      </c>
      <c r="B106" s="2">
        <v>7.4889999999999996E-5</v>
      </c>
      <c r="C106">
        <v>0</v>
      </c>
      <c r="D106">
        <v>3.7760000000000002E-4</v>
      </c>
      <c r="E106">
        <v>1.1629999999999999E-4</v>
      </c>
      <c r="F106">
        <v>0.3</v>
      </c>
    </row>
    <row r="107" spans="1:6" x14ac:dyDescent="0.2">
      <c r="A107" s="54" t="s">
        <v>129</v>
      </c>
      <c r="B107" s="2">
        <v>7.1420000000000004E-5</v>
      </c>
      <c r="C107">
        <v>0</v>
      </c>
      <c r="D107">
        <v>3.6979999999999999E-4</v>
      </c>
      <c r="E107" s="2">
        <v>7.7440000000000004E-5</v>
      </c>
      <c r="F107">
        <v>0.3</v>
      </c>
    </row>
    <row r="108" spans="1:6" x14ac:dyDescent="0.2">
      <c r="A108" s="54" t="s">
        <v>130</v>
      </c>
      <c r="B108">
        <v>3.3990000000000002E-4</v>
      </c>
      <c r="C108">
        <v>0</v>
      </c>
      <c r="D108">
        <v>3.679E-4</v>
      </c>
      <c r="E108" s="2">
        <v>8.5740000000000002E-5</v>
      </c>
      <c r="F108">
        <v>0.3</v>
      </c>
    </row>
    <row r="109" spans="1:6" x14ac:dyDescent="0.2">
      <c r="A109" s="54" t="s">
        <v>131</v>
      </c>
      <c r="B109">
        <v>1.605E-4</v>
      </c>
      <c r="C109">
        <v>0</v>
      </c>
      <c r="D109">
        <v>3.6759999999999999E-4</v>
      </c>
      <c r="E109">
        <v>2.4649999999999997E-4</v>
      </c>
      <c r="F109">
        <v>0.3</v>
      </c>
    </row>
    <row r="110" spans="1:6" x14ac:dyDescent="0.2">
      <c r="A110" s="54" t="s">
        <v>132</v>
      </c>
      <c r="B110">
        <v>5.4109999999999998E-4</v>
      </c>
      <c r="C110">
        <v>0.1</v>
      </c>
      <c r="D110">
        <v>3.6689999999999997E-4</v>
      </c>
      <c r="E110">
        <v>1.9340000000000001E-4</v>
      </c>
      <c r="F110">
        <v>0.3</v>
      </c>
    </row>
    <row r="111" spans="1:6" x14ac:dyDescent="0.2">
      <c r="A111" s="54" t="s">
        <v>133</v>
      </c>
      <c r="B111">
        <v>3.3569999999999997E-4</v>
      </c>
      <c r="C111">
        <v>0</v>
      </c>
      <c r="D111">
        <v>3.568E-4</v>
      </c>
      <c r="E111">
        <v>1.361E-4</v>
      </c>
      <c r="F111">
        <v>0.2</v>
      </c>
    </row>
    <row r="112" spans="1:6" x14ac:dyDescent="0.2">
      <c r="A112" s="54" t="s">
        <v>134</v>
      </c>
      <c r="B112">
        <v>1.9780000000000001E-4</v>
      </c>
      <c r="C112">
        <v>0</v>
      </c>
      <c r="D112">
        <v>3.39E-4</v>
      </c>
      <c r="E112">
        <v>1.2510000000000001E-4</v>
      </c>
      <c r="F112">
        <v>0.2</v>
      </c>
    </row>
    <row r="113" spans="1:6" x14ac:dyDescent="0.2">
      <c r="A113" s="54" t="s">
        <v>135</v>
      </c>
      <c r="B113">
        <v>7.4109999999999996E-4</v>
      </c>
      <c r="C113">
        <v>0.1</v>
      </c>
      <c r="D113">
        <v>3.2759999999999999E-4</v>
      </c>
      <c r="E113">
        <v>4.5360000000000002E-4</v>
      </c>
      <c r="F113">
        <v>0.2</v>
      </c>
    </row>
    <row r="114" spans="1:6" x14ac:dyDescent="0.2">
      <c r="A114" s="54" t="s">
        <v>136</v>
      </c>
      <c r="B114">
        <v>3.8079999999999999E-4</v>
      </c>
      <c r="C114">
        <v>0</v>
      </c>
      <c r="D114">
        <v>3.213E-4</v>
      </c>
      <c r="E114">
        <v>1.284E-4</v>
      </c>
      <c r="F114">
        <v>0.2</v>
      </c>
    </row>
    <row r="115" spans="1:6" x14ac:dyDescent="0.2">
      <c r="A115" s="54" t="s">
        <v>137</v>
      </c>
      <c r="B115" s="2">
        <v>2.1520000000000001E-5</v>
      </c>
      <c r="C115">
        <v>0</v>
      </c>
      <c r="D115">
        <v>3.1060000000000001E-4</v>
      </c>
      <c r="E115" s="2">
        <v>7.1030000000000003E-5</v>
      </c>
      <c r="F115">
        <v>0.2</v>
      </c>
    </row>
    <row r="116" spans="1:6" x14ac:dyDescent="0.2">
      <c r="A116" s="54" t="s">
        <v>138</v>
      </c>
      <c r="B116">
        <v>1.016E-3</v>
      </c>
      <c r="C116">
        <v>0.1</v>
      </c>
      <c r="D116">
        <v>3.0140000000000001E-4</v>
      </c>
      <c r="E116">
        <v>2.073E-4</v>
      </c>
      <c r="F116">
        <v>0.2</v>
      </c>
    </row>
    <row r="117" spans="1:6" x14ac:dyDescent="0.2">
      <c r="A117" s="54" t="s">
        <v>139</v>
      </c>
      <c r="B117">
        <v>7.6499999999999995E-4</v>
      </c>
      <c r="C117">
        <v>0.1</v>
      </c>
      <c r="D117">
        <v>2.9990000000000003E-4</v>
      </c>
      <c r="E117">
        <v>5.463E-4</v>
      </c>
      <c r="F117">
        <v>0.2</v>
      </c>
    </row>
    <row r="118" spans="1:6" x14ac:dyDescent="0.2">
      <c r="A118" s="54" t="s">
        <v>140</v>
      </c>
      <c r="B118" s="2">
        <v>3.5549999999999997E-5</v>
      </c>
      <c r="C118">
        <v>0</v>
      </c>
      <c r="D118">
        <v>2.8140000000000001E-4</v>
      </c>
      <c r="E118" s="2">
        <v>9.5719999999999998E-5</v>
      </c>
      <c r="F118">
        <v>0.2</v>
      </c>
    </row>
    <row r="119" spans="1:6" x14ac:dyDescent="0.2">
      <c r="A119" s="54" t="s">
        <v>141</v>
      </c>
      <c r="B119">
        <v>4.2890000000000002E-4</v>
      </c>
      <c r="C119">
        <v>0</v>
      </c>
      <c r="D119">
        <v>2.722E-4</v>
      </c>
      <c r="E119">
        <v>9.3349999999999998E-4</v>
      </c>
      <c r="F119">
        <v>0.2</v>
      </c>
    </row>
    <row r="120" spans="1:6" x14ac:dyDescent="0.2">
      <c r="A120" s="54" t="s">
        <v>142</v>
      </c>
      <c r="B120">
        <v>2.8610000000000002E-4</v>
      </c>
      <c r="C120">
        <v>0</v>
      </c>
      <c r="D120">
        <v>2.6150000000000001E-4</v>
      </c>
      <c r="E120" s="2">
        <v>7.9289999999999995E-5</v>
      </c>
      <c r="F120">
        <v>0.2</v>
      </c>
    </row>
    <row r="121" spans="1:6" x14ac:dyDescent="0.2">
      <c r="A121" s="54" t="s">
        <v>143</v>
      </c>
      <c r="B121" s="2">
        <v>3.328E-5</v>
      </c>
      <c r="C121">
        <v>0</v>
      </c>
      <c r="D121">
        <v>2.5970000000000002E-4</v>
      </c>
      <c r="E121">
        <v>1.1680000000000001E-4</v>
      </c>
      <c r="F121">
        <v>0.2</v>
      </c>
    </row>
    <row r="122" spans="1:6" x14ac:dyDescent="0.2">
      <c r="A122" s="54" t="s">
        <v>144</v>
      </c>
      <c r="B122">
        <v>7.2009999999999999E-4</v>
      </c>
      <c r="C122">
        <v>0.1</v>
      </c>
      <c r="D122">
        <v>2.5349999999999998E-4</v>
      </c>
      <c r="E122">
        <v>6.424E-4</v>
      </c>
      <c r="F122">
        <v>0.2</v>
      </c>
    </row>
    <row r="123" spans="1:6" x14ac:dyDescent="0.2">
      <c r="A123" s="54" t="s">
        <v>145</v>
      </c>
      <c r="B123">
        <v>2.41E-4</v>
      </c>
      <c r="C123">
        <v>0</v>
      </c>
      <c r="D123">
        <v>2.453E-4</v>
      </c>
      <c r="E123">
        <v>5.5949999999999999E-4</v>
      </c>
      <c r="F123">
        <v>0.2</v>
      </c>
    </row>
    <row r="124" spans="1:6" x14ac:dyDescent="0.2">
      <c r="A124" s="54" t="s">
        <v>146</v>
      </c>
      <c r="B124">
        <v>1.97E-3</v>
      </c>
      <c r="C124">
        <v>0.2</v>
      </c>
      <c r="D124">
        <v>2.3949999999999999E-4</v>
      </c>
      <c r="E124">
        <v>1.0169999999999999E-3</v>
      </c>
      <c r="F124">
        <v>0.2</v>
      </c>
    </row>
    <row r="125" spans="1:6" x14ac:dyDescent="0.2">
      <c r="A125" s="54" t="s">
        <v>147</v>
      </c>
      <c r="B125">
        <v>1.6670000000000001E-3</v>
      </c>
      <c r="C125">
        <v>0.2</v>
      </c>
      <c r="D125">
        <v>2.3819999999999999E-4</v>
      </c>
      <c r="E125">
        <v>9.2679999999999998E-4</v>
      </c>
      <c r="F125">
        <v>0.2</v>
      </c>
    </row>
    <row r="126" spans="1:6" x14ac:dyDescent="0.2">
      <c r="A126" s="54" t="s">
        <v>148</v>
      </c>
      <c r="B126" s="2">
        <v>9.3540000000000002E-5</v>
      </c>
      <c r="C126">
        <v>0</v>
      </c>
      <c r="D126">
        <v>2.2499999999999999E-4</v>
      </c>
      <c r="E126">
        <v>1.6530000000000001E-4</v>
      </c>
      <c r="F126">
        <v>0.2</v>
      </c>
    </row>
    <row r="127" spans="1:6" x14ac:dyDescent="0.2">
      <c r="A127" s="54" t="s">
        <v>149</v>
      </c>
      <c r="B127" s="2">
        <v>5.8869999999999997E-5</v>
      </c>
      <c r="C127">
        <v>0</v>
      </c>
      <c r="D127">
        <v>2.2369999999999999E-4</v>
      </c>
      <c r="E127" s="2">
        <v>9.2830000000000004E-5</v>
      </c>
      <c r="F127">
        <v>0.2</v>
      </c>
    </row>
    <row r="128" spans="1:6" x14ac:dyDescent="0.2">
      <c r="A128" s="54" t="s">
        <v>150</v>
      </c>
      <c r="B128">
        <v>2.1560000000000001E-4</v>
      </c>
      <c r="C128">
        <v>0</v>
      </c>
      <c r="D128">
        <v>2.2110000000000001E-4</v>
      </c>
      <c r="E128">
        <v>1.9900000000000001E-4</v>
      </c>
      <c r="F128">
        <v>0.2</v>
      </c>
    </row>
    <row r="129" spans="1:6" x14ac:dyDescent="0.2">
      <c r="A129" s="54" t="s">
        <v>151</v>
      </c>
      <c r="B129" s="2">
        <v>2.8819999999999999E-5</v>
      </c>
      <c r="C129">
        <v>0</v>
      </c>
      <c r="D129">
        <v>2.1719999999999999E-4</v>
      </c>
      <c r="E129" s="2">
        <v>3.7440000000000001E-5</v>
      </c>
      <c r="F129">
        <v>0.1</v>
      </c>
    </row>
    <row r="130" spans="1:6" x14ac:dyDescent="0.2">
      <c r="A130" s="54" t="s">
        <v>152</v>
      </c>
      <c r="B130">
        <v>7.6040000000000005E-4</v>
      </c>
      <c r="C130">
        <v>0.1</v>
      </c>
      <c r="D130">
        <v>2.098E-4</v>
      </c>
      <c r="E130">
        <v>8.4909999999999998E-4</v>
      </c>
      <c r="F130">
        <v>0.1</v>
      </c>
    </row>
    <row r="131" spans="1:6" x14ac:dyDescent="0.2">
      <c r="A131" s="54" t="s">
        <v>153</v>
      </c>
      <c r="B131">
        <v>7.1159999999999995E-4</v>
      </c>
      <c r="C131">
        <v>0.1</v>
      </c>
      <c r="D131">
        <v>2.095E-4</v>
      </c>
      <c r="E131">
        <v>3.7980000000000002E-4</v>
      </c>
      <c r="F131">
        <v>0.1</v>
      </c>
    </row>
    <row r="132" spans="1:6" x14ac:dyDescent="0.2">
      <c r="A132" s="54" t="s">
        <v>154</v>
      </c>
      <c r="B132">
        <v>1.42E-3</v>
      </c>
      <c r="C132">
        <v>0.1</v>
      </c>
      <c r="D132">
        <v>1.9269999999999999E-4</v>
      </c>
      <c r="E132">
        <v>2.3470000000000001E-4</v>
      </c>
      <c r="F132">
        <v>0.1</v>
      </c>
    </row>
    <row r="133" spans="1:6" x14ac:dyDescent="0.2">
      <c r="A133" s="54" t="s">
        <v>155</v>
      </c>
      <c r="B133" s="2">
        <v>9.9320000000000005E-5</v>
      </c>
      <c r="C133">
        <v>0</v>
      </c>
      <c r="D133">
        <v>1.827E-4</v>
      </c>
      <c r="E133" s="2">
        <v>8.3739999999999994E-5</v>
      </c>
      <c r="F133">
        <v>0.1</v>
      </c>
    </row>
    <row r="134" spans="1:6" x14ac:dyDescent="0.2">
      <c r="A134" s="54" t="s">
        <v>156</v>
      </c>
      <c r="B134" s="2">
        <v>2.455E-5</v>
      </c>
      <c r="C134">
        <v>0</v>
      </c>
      <c r="D134">
        <v>1.8210000000000001E-4</v>
      </c>
      <c r="E134" s="2">
        <v>4.3819999999999997E-5</v>
      </c>
      <c r="F134">
        <v>0.1</v>
      </c>
    </row>
    <row r="135" spans="1:6" x14ac:dyDescent="0.2">
      <c r="A135" s="54" t="s">
        <v>157</v>
      </c>
      <c r="B135">
        <v>3.4259999999999998E-4</v>
      </c>
      <c r="C135">
        <v>0</v>
      </c>
      <c r="D135">
        <v>1.7880000000000001E-4</v>
      </c>
      <c r="E135">
        <v>2.4030000000000001E-4</v>
      </c>
      <c r="F135">
        <v>0.1</v>
      </c>
    </row>
    <row r="136" spans="1:6" x14ac:dyDescent="0.2">
      <c r="A136" s="54" t="s">
        <v>158</v>
      </c>
      <c r="B136" s="2">
        <v>4.9079999999999998E-5</v>
      </c>
      <c r="C136">
        <v>0</v>
      </c>
      <c r="D136">
        <v>1.761E-4</v>
      </c>
      <c r="E136" s="2">
        <v>6.4960000000000001E-5</v>
      </c>
      <c r="F136">
        <v>0.1</v>
      </c>
    </row>
    <row r="137" spans="1:6" x14ac:dyDescent="0.2">
      <c r="A137" s="54" t="s">
        <v>159</v>
      </c>
      <c r="B137">
        <v>1.281E-4</v>
      </c>
      <c r="C137">
        <v>0</v>
      </c>
      <c r="D137">
        <v>1.6860000000000001E-4</v>
      </c>
      <c r="E137">
        <v>2.1139999999999999E-4</v>
      </c>
      <c r="F137">
        <v>0.1</v>
      </c>
    </row>
    <row r="138" spans="1:6" x14ac:dyDescent="0.2">
      <c r="A138" s="54" t="s">
        <v>160</v>
      </c>
      <c r="B138">
        <v>1.2110000000000001E-3</v>
      </c>
      <c r="C138">
        <v>0.1</v>
      </c>
      <c r="D138">
        <v>1.616E-4</v>
      </c>
      <c r="E138">
        <v>8.2649999999999998E-4</v>
      </c>
      <c r="F138">
        <v>0.1</v>
      </c>
    </row>
    <row r="139" spans="1:6" x14ac:dyDescent="0.2">
      <c r="A139" s="54" t="s">
        <v>161</v>
      </c>
      <c r="B139">
        <v>1.228E-4</v>
      </c>
      <c r="C139">
        <v>0</v>
      </c>
      <c r="D139">
        <v>1.596E-4</v>
      </c>
      <c r="E139" s="2">
        <v>7.0820000000000003E-5</v>
      </c>
      <c r="F139">
        <v>0.1</v>
      </c>
    </row>
    <row r="140" spans="1:6" x14ac:dyDescent="0.2">
      <c r="A140" s="54" t="s">
        <v>162</v>
      </c>
      <c r="B140">
        <v>3.6309999999999999E-4</v>
      </c>
      <c r="C140">
        <v>0</v>
      </c>
      <c r="D140">
        <v>1.5699999999999999E-4</v>
      </c>
      <c r="E140">
        <v>3.0279999999999999E-4</v>
      </c>
      <c r="F140">
        <v>0.1</v>
      </c>
    </row>
    <row r="141" spans="1:6" x14ac:dyDescent="0.2">
      <c r="A141" s="54" t="s">
        <v>163</v>
      </c>
      <c r="B141" s="2">
        <v>4.3890000000000002E-5</v>
      </c>
      <c r="C141">
        <v>0</v>
      </c>
      <c r="D141">
        <v>1.5430000000000001E-4</v>
      </c>
      <c r="E141">
        <v>1.261E-4</v>
      </c>
      <c r="F141">
        <v>0.1</v>
      </c>
    </row>
    <row r="142" spans="1:6" x14ac:dyDescent="0.2">
      <c r="A142" s="54" t="s">
        <v>164</v>
      </c>
      <c r="B142">
        <v>2.2890000000000001E-4</v>
      </c>
      <c r="C142">
        <v>0</v>
      </c>
      <c r="D142">
        <v>1.448E-4</v>
      </c>
      <c r="E142" s="2">
        <v>9.7360000000000003E-5</v>
      </c>
      <c r="F142">
        <v>0.1</v>
      </c>
    </row>
    <row r="143" spans="1:6" x14ac:dyDescent="0.2">
      <c r="A143" s="54" t="s">
        <v>165</v>
      </c>
      <c r="B143">
        <v>2.206E-4</v>
      </c>
      <c r="C143">
        <v>0</v>
      </c>
      <c r="D143">
        <v>1.2970000000000001E-4</v>
      </c>
      <c r="E143">
        <v>1.459E-4</v>
      </c>
      <c r="F143">
        <v>0.1</v>
      </c>
    </row>
    <row r="144" spans="1:6" x14ac:dyDescent="0.2">
      <c r="A144" s="54" t="s">
        <v>166</v>
      </c>
      <c r="B144" s="2">
        <v>2.355E-5</v>
      </c>
      <c r="C144">
        <v>0</v>
      </c>
      <c r="D144">
        <v>1.2740000000000001E-4</v>
      </c>
      <c r="E144" s="2">
        <v>5.8149999999999997E-5</v>
      </c>
      <c r="F144">
        <v>0.1</v>
      </c>
    </row>
    <row r="145" spans="1:6" x14ac:dyDescent="0.2">
      <c r="A145" s="54" t="s">
        <v>167</v>
      </c>
      <c r="B145">
        <v>2.4000000000000001E-4</v>
      </c>
      <c r="C145">
        <v>0</v>
      </c>
      <c r="D145">
        <v>1.092E-4</v>
      </c>
      <c r="E145">
        <v>1.5200000000000001E-4</v>
      </c>
      <c r="F145">
        <v>0.1</v>
      </c>
    </row>
    <row r="146" spans="1:6" x14ac:dyDescent="0.2">
      <c r="A146" s="54" t="s">
        <v>168</v>
      </c>
      <c r="B146">
        <v>7.2550000000000002E-4</v>
      </c>
      <c r="C146">
        <v>0.1</v>
      </c>
      <c r="D146">
        <v>1.0900000000000001E-4</v>
      </c>
      <c r="E146">
        <v>2.207E-4</v>
      </c>
      <c r="F146">
        <v>0.1</v>
      </c>
    </row>
    <row r="147" spans="1:6" x14ac:dyDescent="0.2">
      <c r="A147" s="54" t="s">
        <v>169</v>
      </c>
      <c r="B147">
        <v>3.1580000000000002E-3</v>
      </c>
      <c r="C147">
        <v>0.3</v>
      </c>
      <c r="D147">
        <v>1.0179999999999999E-4</v>
      </c>
      <c r="E147">
        <v>1.2979999999999999E-3</v>
      </c>
      <c r="F147">
        <v>0.1</v>
      </c>
    </row>
    <row r="148" spans="1:6" x14ac:dyDescent="0.2">
      <c r="A148" s="54" t="s">
        <v>170</v>
      </c>
      <c r="B148">
        <v>1.2570000000000001E-3</v>
      </c>
      <c r="C148">
        <v>0.1</v>
      </c>
      <c r="D148" s="2">
        <v>9.3590000000000003E-5</v>
      </c>
      <c r="E148">
        <v>6.9390000000000001E-4</v>
      </c>
      <c r="F148">
        <v>0.1</v>
      </c>
    </row>
    <row r="149" spans="1:6" x14ac:dyDescent="0.2">
      <c r="A149" s="54" t="s">
        <v>171</v>
      </c>
      <c r="B149" s="2">
        <v>2.6639999999999998E-6</v>
      </c>
      <c r="C149">
        <v>0</v>
      </c>
      <c r="D149" s="2">
        <v>9.3319999999999994E-5</v>
      </c>
      <c r="E149" s="2">
        <v>4.5160000000000001E-5</v>
      </c>
      <c r="F149">
        <v>0.1</v>
      </c>
    </row>
    <row r="150" spans="1:6" x14ac:dyDescent="0.2">
      <c r="A150" s="54" t="s">
        <v>172</v>
      </c>
      <c r="B150">
        <v>3.3990000000000002E-4</v>
      </c>
      <c r="C150">
        <v>0</v>
      </c>
      <c r="D150" s="2">
        <v>8.3709999999999996E-5</v>
      </c>
      <c r="E150">
        <v>2.9339999999999998E-4</v>
      </c>
      <c r="F150">
        <v>0.1</v>
      </c>
    </row>
    <row r="151" spans="1:6" x14ac:dyDescent="0.2">
      <c r="A151" s="54" t="s">
        <v>173</v>
      </c>
      <c r="B151">
        <v>1.483E-4</v>
      </c>
      <c r="C151">
        <v>0</v>
      </c>
      <c r="D151" s="2">
        <v>7.6870000000000001E-5</v>
      </c>
      <c r="E151">
        <v>1.3070000000000001E-4</v>
      </c>
      <c r="F151">
        <v>0.1</v>
      </c>
    </row>
    <row r="152" spans="1:6" x14ac:dyDescent="0.2">
      <c r="A152" s="54" t="s">
        <v>174</v>
      </c>
      <c r="B152">
        <v>3.098E-4</v>
      </c>
      <c r="C152">
        <v>0</v>
      </c>
      <c r="D152" s="2">
        <v>7.1249999999999997E-5</v>
      </c>
      <c r="E152">
        <v>1.4650000000000001E-4</v>
      </c>
      <c r="F152">
        <v>0</v>
      </c>
    </row>
    <row r="153" spans="1:6" x14ac:dyDescent="0.2">
      <c r="A153" s="54" t="s">
        <v>175</v>
      </c>
      <c r="B153">
        <v>7.517E-4</v>
      </c>
      <c r="C153">
        <v>0.1</v>
      </c>
      <c r="D153" s="2">
        <v>7.1060000000000001E-5</v>
      </c>
      <c r="E153">
        <v>8.0009999999999999E-4</v>
      </c>
      <c r="F153">
        <v>0</v>
      </c>
    </row>
    <row r="154" spans="1:6" x14ac:dyDescent="0.2">
      <c r="A154" s="54" t="s">
        <v>176</v>
      </c>
      <c r="B154" s="2">
        <v>1.607E-5</v>
      </c>
      <c r="C154">
        <v>0</v>
      </c>
      <c r="D154" s="2">
        <v>7.0119999999999999E-5</v>
      </c>
      <c r="E154" s="2">
        <v>4.269E-5</v>
      </c>
      <c r="F154">
        <v>0</v>
      </c>
    </row>
    <row r="155" spans="1:6" x14ac:dyDescent="0.2">
      <c r="A155" s="54" t="s">
        <v>177</v>
      </c>
      <c r="B155">
        <v>4.4420000000000001E-4</v>
      </c>
      <c r="C155">
        <v>0</v>
      </c>
      <c r="D155" s="2">
        <v>6.8930000000000006E-5</v>
      </c>
      <c r="E155">
        <v>1.4339999999999999E-4</v>
      </c>
      <c r="F155">
        <v>0</v>
      </c>
    </row>
    <row r="156" spans="1:6" x14ac:dyDescent="0.2">
      <c r="A156" s="54" t="s">
        <v>178</v>
      </c>
      <c r="B156">
        <v>6.6140000000000003E-4</v>
      </c>
      <c r="C156">
        <v>0.1</v>
      </c>
      <c r="D156" s="2">
        <v>5.9830000000000001E-5</v>
      </c>
      <c r="E156">
        <v>3.4590000000000001E-4</v>
      </c>
      <c r="F156">
        <v>0</v>
      </c>
    </row>
    <row r="157" spans="1:6" x14ac:dyDescent="0.2">
      <c r="A157" s="54" t="s">
        <v>179</v>
      </c>
      <c r="B157">
        <v>5.1999999999999995E-4</v>
      </c>
      <c r="C157">
        <v>0.1</v>
      </c>
      <c r="D157" s="2">
        <v>5.6310000000000001E-5</v>
      </c>
      <c r="E157" s="2">
        <v>5.3919999999999999E-5</v>
      </c>
      <c r="F157">
        <v>0</v>
      </c>
    </row>
    <row r="158" spans="1:6" x14ac:dyDescent="0.2">
      <c r="A158" s="54" t="s">
        <v>180</v>
      </c>
      <c r="B158">
        <v>1.3760000000000001E-4</v>
      </c>
      <c r="C158">
        <v>0</v>
      </c>
      <c r="D158" s="2">
        <v>5.1910000000000003E-5</v>
      </c>
      <c r="E158" s="2">
        <v>4.9310000000000001E-5</v>
      </c>
      <c r="F158">
        <v>0</v>
      </c>
    </row>
    <row r="159" spans="1:6" x14ac:dyDescent="0.2">
      <c r="A159" s="54" t="s">
        <v>181</v>
      </c>
      <c r="B159" s="2">
        <v>1.577E-5</v>
      </c>
      <c r="C159">
        <v>0</v>
      </c>
      <c r="D159" s="2">
        <v>4.0450000000000001E-5</v>
      </c>
      <c r="E159" s="2">
        <v>4.871E-5</v>
      </c>
      <c r="F159">
        <v>0</v>
      </c>
    </row>
    <row r="160" spans="1:6" x14ac:dyDescent="0.2">
      <c r="A160" s="54" t="s">
        <v>182</v>
      </c>
      <c r="B160">
        <v>1.3909999999999999E-4</v>
      </c>
      <c r="C160">
        <v>0</v>
      </c>
      <c r="D160" s="2">
        <v>3.9220000000000001E-5</v>
      </c>
      <c r="E160">
        <v>1.4630000000000001E-4</v>
      </c>
      <c r="F160">
        <v>0</v>
      </c>
    </row>
    <row r="161" spans="1:6" x14ac:dyDescent="0.2">
      <c r="A161" s="54" t="s">
        <v>183</v>
      </c>
      <c r="B161" s="2">
        <v>6.0909999999999998E-6</v>
      </c>
      <c r="C161">
        <v>0</v>
      </c>
      <c r="D161" s="2">
        <v>3.7979999999999999E-5</v>
      </c>
      <c r="E161" s="2">
        <v>4.0210000000000003E-5</v>
      </c>
      <c r="F161">
        <v>0</v>
      </c>
    </row>
    <row r="162" spans="1:6" x14ac:dyDescent="0.2">
      <c r="A162" s="54" t="s">
        <v>184</v>
      </c>
      <c r="B162">
        <v>7.9509999999999997E-4</v>
      </c>
      <c r="C162">
        <v>0.1</v>
      </c>
      <c r="D162" s="2">
        <v>3.5989999999999999E-5</v>
      </c>
      <c r="E162">
        <v>5.8589999999999998E-4</v>
      </c>
      <c r="F162">
        <v>0</v>
      </c>
    </row>
    <row r="163" spans="1:6" x14ac:dyDescent="0.2">
      <c r="A163" s="54" t="s">
        <v>185</v>
      </c>
      <c r="B163">
        <v>1.2569999999999999E-4</v>
      </c>
      <c r="C163">
        <v>0</v>
      </c>
      <c r="D163" s="2">
        <v>3.5809999999999998E-5</v>
      </c>
      <c r="E163">
        <v>1.351E-4</v>
      </c>
      <c r="F163">
        <v>0</v>
      </c>
    </row>
    <row r="164" spans="1:6" x14ac:dyDescent="0.2">
      <c r="A164" s="54" t="s">
        <v>186</v>
      </c>
      <c r="B164" s="2">
        <v>1.8479999999999999E-6</v>
      </c>
      <c r="C164">
        <v>0</v>
      </c>
      <c r="D164" s="2">
        <v>2.9499999999999999E-5</v>
      </c>
      <c r="E164" s="2">
        <v>2.641E-5</v>
      </c>
      <c r="F164">
        <v>0</v>
      </c>
    </row>
    <row r="165" spans="1:6" x14ac:dyDescent="0.2">
      <c r="A165" s="54" t="s">
        <v>187</v>
      </c>
      <c r="B165">
        <v>4.5570000000000002E-4</v>
      </c>
      <c r="C165">
        <v>0</v>
      </c>
      <c r="D165" s="2">
        <v>2.864E-5</v>
      </c>
      <c r="E165">
        <v>6.068E-4</v>
      </c>
      <c r="F165">
        <v>0</v>
      </c>
    </row>
    <row r="166" spans="1:6" x14ac:dyDescent="0.2">
      <c r="A166" s="54" t="s">
        <v>188</v>
      </c>
      <c r="B166">
        <v>5.0299999999999997E-4</v>
      </c>
      <c r="C166">
        <v>0.1</v>
      </c>
      <c r="D166" s="2">
        <v>2.762E-5</v>
      </c>
      <c r="E166" s="2">
        <v>2.7120000000000001E-5</v>
      </c>
      <c r="F166">
        <v>0</v>
      </c>
    </row>
    <row r="167" spans="1:6" x14ac:dyDescent="0.2">
      <c r="A167" s="54" t="s">
        <v>189</v>
      </c>
      <c r="B167" s="2">
        <v>1.9870000000000001E-5</v>
      </c>
      <c r="C167">
        <v>0</v>
      </c>
      <c r="D167" s="2">
        <v>2.3200000000000001E-5</v>
      </c>
      <c r="E167" s="2">
        <v>1.344E-5</v>
      </c>
      <c r="F167">
        <v>0</v>
      </c>
    </row>
    <row r="168" spans="1:6" x14ac:dyDescent="0.2">
      <c r="A168" s="54" t="s">
        <v>190</v>
      </c>
      <c r="B168">
        <v>6.445E-4</v>
      </c>
      <c r="C168">
        <v>0.1</v>
      </c>
      <c r="D168" s="2">
        <v>1.9130000000000001E-5</v>
      </c>
      <c r="E168">
        <v>7.7769999999999998E-4</v>
      </c>
      <c r="F168">
        <v>0</v>
      </c>
    </row>
    <row r="169" spans="1:6" x14ac:dyDescent="0.2">
      <c r="A169" s="54" t="s">
        <v>191</v>
      </c>
      <c r="B169">
        <v>6.7969999999999999E-4</v>
      </c>
      <c r="C169">
        <v>0.1</v>
      </c>
      <c r="D169" s="2">
        <v>1.7289999999999999E-5</v>
      </c>
      <c r="E169">
        <v>1.0300000000000001E-3</v>
      </c>
      <c r="F169">
        <v>0</v>
      </c>
    </row>
    <row r="170" spans="1:6" x14ac:dyDescent="0.2">
      <c r="A170" s="54" t="s">
        <v>192</v>
      </c>
      <c r="B170" s="2">
        <v>3.1720000000000001E-7</v>
      </c>
      <c r="C170">
        <v>0</v>
      </c>
      <c r="D170" s="2">
        <v>1.7090000000000001E-5</v>
      </c>
      <c r="E170" s="2">
        <v>6.5039999999999999E-6</v>
      </c>
      <c r="F170">
        <v>0</v>
      </c>
    </row>
    <row r="171" spans="1:6" x14ac:dyDescent="0.2">
      <c r="A171" s="54" t="s">
        <v>193</v>
      </c>
      <c r="B171">
        <v>1.7960000000000001E-3</v>
      </c>
      <c r="C171">
        <v>0.2</v>
      </c>
      <c r="D171" s="2">
        <v>1.615E-5</v>
      </c>
      <c r="E171">
        <v>5.9690000000000003E-4</v>
      </c>
      <c r="F171">
        <v>0</v>
      </c>
    </row>
    <row r="172" spans="1:6" x14ac:dyDescent="0.2">
      <c r="A172" s="54" t="s">
        <v>194</v>
      </c>
      <c r="B172">
        <v>1.7349999999999999E-4</v>
      </c>
      <c r="C172">
        <v>0</v>
      </c>
      <c r="D172" s="2">
        <v>1.311E-5</v>
      </c>
      <c r="E172" s="2">
        <v>9.2470000000000001E-5</v>
      </c>
      <c r="F172">
        <v>0</v>
      </c>
    </row>
    <row r="173" spans="1:6" x14ac:dyDescent="0.2">
      <c r="A173" s="54" t="s">
        <v>195</v>
      </c>
      <c r="B173">
        <v>2.04E-4</v>
      </c>
      <c r="C173">
        <v>0</v>
      </c>
      <c r="D173" s="2">
        <v>1.3040000000000001E-5</v>
      </c>
      <c r="E173">
        <v>1.1010000000000001E-4</v>
      </c>
      <c r="F173">
        <v>0</v>
      </c>
    </row>
    <row r="174" spans="1:6" x14ac:dyDescent="0.2">
      <c r="A174" s="54" t="s">
        <v>196</v>
      </c>
      <c r="B174">
        <v>1.8699999999999999E-3</v>
      </c>
      <c r="C174">
        <v>0.2</v>
      </c>
      <c r="D174" s="2">
        <v>1.2089999999999999E-5</v>
      </c>
      <c r="E174">
        <v>2.2910000000000001E-3</v>
      </c>
      <c r="F174">
        <v>0</v>
      </c>
    </row>
    <row r="175" spans="1:6" x14ac:dyDescent="0.2">
      <c r="A175" s="54" t="s">
        <v>197</v>
      </c>
      <c r="B175" s="2">
        <v>3.8739999999999998E-5</v>
      </c>
      <c r="C175">
        <v>0</v>
      </c>
      <c r="D175" s="2">
        <v>8.4940000000000003E-6</v>
      </c>
      <c r="E175" s="2">
        <v>9.7739999999999996E-5</v>
      </c>
      <c r="F175">
        <v>0</v>
      </c>
    </row>
    <row r="176" spans="1:6" x14ac:dyDescent="0.2">
      <c r="A176" s="54" t="s">
        <v>198</v>
      </c>
      <c r="B176" s="2">
        <v>7.9519999999999994E-6</v>
      </c>
      <c r="C176">
        <v>0</v>
      </c>
      <c r="D176" s="2">
        <v>8.3639999999999999E-6</v>
      </c>
      <c r="E176" s="2">
        <v>2.1399999999999998E-5</v>
      </c>
      <c r="F176">
        <v>0</v>
      </c>
    </row>
    <row r="177" spans="1:6" x14ac:dyDescent="0.2">
      <c r="A177" s="54" t="s">
        <v>199</v>
      </c>
      <c r="B177" s="2">
        <v>1.8589999999999999E-6</v>
      </c>
      <c r="C177">
        <v>0</v>
      </c>
      <c r="D177" s="2">
        <v>7.0129999999999996E-6</v>
      </c>
      <c r="E177" s="2">
        <v>7.0339999999999999E-6</v>
      </c>
      <c r="F177">
        <v>0</v>
      </c>
    </row>
    <row r="178" spans="1:6" x14ac:dyDescent="0.2">
      <c r="A178" s="54" t="s">
        <v>200</v>
      </c>
      <c r="B178" s="2">
        <v>3.9580000000000001E-6</v>
      </c>
      <c r="C178">
        <v>0</v>
      </c>
      <c r="D178" s="2">
        <v>5.0989999999999998E-6</v>
      </c>
      <c r="E178" s="2">
        <v>3.58E-6</v>
      </c>
      <c r="F178">
        <v>0</v>
      </c>
    </row>
    <row r="179" spans="1:6" x14ac:dyDescent="0.2">
      <c r="A179" s="54" t="s">
        <v>201</v>
      </c>
      <c r="B179" s="2">
        <v>2.2000000000000001E-6</v>
      </c>
      <c r="C179">
        <v>0</v>
      </c>
      <c r="D179" s="2">
        <v>3.45E-6</v>
      </c>
      <c r="E179">
        <v>0</v>
      </c>
      <c r="F179">
        <v>0</v>
      </c>
    </row>
    <row r="180" spans="1:6" x14ac:dyDescent="0.2">
      <c r="A180" s="54" t="s">
        <v>202</v>
      </c>
      <c r="B180" s="2">
        <v>1.3019999999999999E-7</v>
      </c>
      <c r="C180">
        <v>0</v>
      </c>
      <c r="D180" s="2">
        <v>3.4209999999999999E-6</v>
      </c>
      <c r="E180" s="2">
        <v>4.2049999999999999E-7</v>
      </c>
      <c r="F180">
        <v>0</v>
      </c>
    </row>
    <row r="181" spans="1:6" x14ac:dyDescent="0.2">
      <c r="A181" s="54" t="s">
        <v>203</v>
      </c>
      <c r="B181" s="2">
        <v>2.3250000000000002E-6</v>
      </c>
      <c r="C181">
        <v>0</v>
      </c>
      <c r="D181" s="2">
        <v>1.404E-6</v>
      </c>
      <c r="E181">
        <v>0</v>
      </c>
      <c r="F181">
        <v>0</v>
      </c>
    </row>
    <row r="182" spans="1:6" x14ac:dyDescent="0.2">
      <c r="A182" s="54" t="s">
        <v>204</v>
      </c>
      <c r="B182" s="2">
        <v>8.4640000000000006E-6</v>
      </c>
      <c r="C182">
        <v>0</v>
      </c>
      <c r="D182" s="2">
        <v>6.0810000000000005E-7</v>
      </c>
      <c r="E182" s="2">
        <v>1.761E-6</v>
      </c>
      <c r="F182">
        <v>0</v>
      </c>
    </row>
    <row r="183" spans="1:6" x14ac:dyDescent="0.2">
      <c r="A183" s="54" t="s">
        <v>205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">
      <c r="A184" s="54" t="s">
        <v>206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">
      <c r="A185" s="54" t="s">
        <v>207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">
      <c r="A186" s="54" t="s">
        <v>208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">
      <c r="A187" s="54" t="s">
        <v>209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">
      <c r="A188" s="54" t="s">
        <v>210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">
      <c r="A189" s="54" t="s">
        <v>211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">
      <c r="A190" s="54" t="s">
        <v>212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">
      <c r="A191" s="54" t="s">
        <v>213</v>
      </c>
      <c r="B191" s="2">
        <v>1.6750000000000001E-5</v>
      </c>
      <c r="C191">
        <v>0</v>
      </c>
      <c r="D191">
        <v>0</v>
      </c>
      <c r="E191">
        <v>0</v>
      </c>
      <c r="F191">
        <v>0</v>
      </c>
    </row>
    <row r="192" spans="1:6" x14ac:dyDescent="0.2">
      <c r="A192" s="54" t="s">
        <v>214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">
      <c r="A193" s="54" t="s">
        <v>215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">
      <c r="A194" s="54" t="s">
        <v>216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">
      <c r="A195" s="54" t="s">
        <v>217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">
      <c r="A196" s="54" t="s">
        <v>218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">
      <c r="A197" s="54" t="s">
        <v>219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">
      <c r="A198" s="54" t="s">
        <v>220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">
      <c r="A199" s="54" t="s">
        <v>221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">
      <c r="A200" s="54" t="s">
        <v>222</v>
      </c>
      <c r="B200" s="2">
        <v>5.5579999999999999E-8</v>
      </c>
      <c r="C200">
        <v>0</v>
      </c>
      <c r="D200">
        <v>0</v>
      </c>
      <c r="E200">
        <v>0</v>
      </c>
      <c r="F200">
        <v>0</v>
      </c>
    </row>
    <row r="201" spans="1:6" x14ac:dyDescent="0.2">
      <c r="A201" s="54" t="s">
        <v>223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">
      <c r="A202" s="54" t="s">
        <v>224</v>
      </c>
      <c r="B202" s="2">
        <v>1.3400000000000001E-7</v>
      </c>
      <c r="C202">
        <v>0</v>
      </c>
      <c r="D202">
        <v>0</v>
      </c>
      <c r="E202">
        <v>0</v>
      </c>
      <c r="F202">
        <v>0</v>
      </c>
    </row>
    <row r="203" spans="1:6" x14ac:dyDescent="0.2">
      <c r="A203" s="54" t="s">
        <v>225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">
      <c r="A204" s="54" t="s">
        <v>226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">
      <c r="A205" s="54" t="s">
        <v>227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">
      <c r="A206" s="54" t="s">
        <v>228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 s="54" t="s">
        <v>229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 s="54" t="s">
        <v>230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">
      <c r="A209" s="54" t="s">
        <v>231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">
      <c r="A210" s="54" t="s">
        <v>232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">
      <c r="A211" s="54" t="s">
        <v>233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 s="54" t="s">
        <v>234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">
      <c r="A213" s="54" t="s">
        <v>235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">
      <c r="A214" s="54" t="s">
        <v>236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">
      <c r="A215" s="54" t="s">
        <v>237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">
      <c r="A216" s="54" t="s">
        <v>238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">
      <c r="A217" s="54" t="s">
        <v>239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">
      <c r="A218" s="54" t="s">
        <v>240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">
      <c r="A219" s="54" t="s">
        <v>241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">
      <c r="A220" s="54" t="s">
        <v>242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">
      <c r="A221" s="54" t="s">
        <v>243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">
      <c r="A222" s="54" t="s">
        <v>244</v>
      </c>
      <c r="B222">
        <v>2.2110000000000001E-4</v>
      </c>
      <c r="C222">
        <v>0</v>
      </c>
      <c r="D222">
        <v>0</v>
      </c>
      <c r="E222">
        <v>0</v>
      </c>
      <c r="F222">
        <v>0</v>
      </c>
    </row>
    <row r="223" spans="1:6" x14ac:dyDescent="0.2">
      <c r="A223" s="54" t="s">
        <v>245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 s="54" t="s">
        <v>246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">
      <c r="A225" s="54" t="s">
        <v>247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">
      <c r="A226" s="54" t="s">
        <v>248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">
      <c r="A227" s="54" t="s">
        <v>249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">
      <c r="A228" s="54" t="s">
        <v>250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">
      <c r="A229" s="54" t="s">
        <v>251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">
      <c r="A230" s="54" t="s">
        <v>252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">
      <c r="A231" s="54" t="s">
        <v>253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">
      <c r="A232" s="54" t="s">
        <v>254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 s="54" t="s">
        <v>255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">
      <c r="A234" s="54" t="s">
        <v>256</v>
      </c>
      <c r="B234">
        <v>9.4249999999999998E-4</v>
      </c>
      <c r="C234">
        <v>0.1</v>
      </c>
      <c r="D234">
        <v>0</v>
      </c>
      <c r="E234">
        <v>0</v>
      </c>
      <c r="F234">
        <v>0</v>
      </c>
    </row>
    <row r="235" spans="1:6" x14ac:dyDescent="0.2">
      <c r="A235" s="54" t="s">
        <v>257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">
      <c r="A236" s="54" t="s">
        <v>258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">
      <c r="A237" s="54" t="s">
        <v>259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 s="54" t="s">
        <v>260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">
      <c r="A239" s="54" t="s">
        <v>261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">
      <c r="A240" s="54" t="s">
        <v>262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">
      <c r="A241" s="54" t="s">
        <v>263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">
      <c r="A242" s="54" t="s">
        <v>264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">
      <c r="A243" s="54" t="s">
        <v>265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">
      <c r="A244" s="54" t="s">
        <v>266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 s="54" t="s">
        <v>267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 s="54" t="s">
        <v>268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">
      <c r="A247" s="54" t="s">
        <v>269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 s="54" t="s">
        <v>270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">
      <c r="A249" s="54" t="s">
        <v>271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">
      <c r="A250" s="54" t="s">
        <v>272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">
      <c r="A251" s="54" t="s">
        <v>273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 s="54" t="s">
        <v>274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">
      <c r="A253" s="54" t="s">
        <v>275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 s="54" t="s">
        <v>276</v>
      </c>
      <c r="B254" s="2">
        <v>9.3919999999999995E-5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 s="54" t="s">
        <v>277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 s="54" t="s">
        <v>278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 s="54" t="s">
        <v>279</v>
      </c>
      <c r="B257" s="2">
        <v>4.3789999999999999E-6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 s="54" t="s">
        <v>280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 s="54" t="s">
        <v>281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 s="54" t="s">
        <v>282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 s="54" t="s">
        <v>283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 s="54" t="s">
        <v>284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 s="54" t="s">
        <v>285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 s="54" t="s">
        <v>286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 s="54" t="s">
        <v>287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 s="54" t="s">
        <v>288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 s="54" t="s">
        <v>289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 s="54" t="s">
        <v>290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 s="54" t="s">
        <v>291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 s="54" t="s">
        <v>292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 s="54" t="s">
        <v>293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 s="54" t="s">
        <v>294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 s="54" t="s">
        <v>295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 s="54" t="s">
        <v>296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 s="54" t="s">
        <v>297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 s="54" t="s">
        <v>298</v>
      </c>
      <c r="B276">
        <v>2.9189999999999999E-4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 s="54" t="s">
        <v>299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 s="54" t="s">
        <v>300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 s="54" t="s">
        <v>301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">
      <c r="A280" s="54" t="s">
        <v>302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 s="54" t="s">
        <v>303</v>
      </c>
      <c r="B281">
        <v>1.2779999999999999E-4</v>
      </c>
      <c r="C281">
        <v>0</v>
      </c>
      <c r="D281" s="2">
        <v>-1.638E-6</v>
      </c>
      <c r="E281">
        <v>1.0179999999999999E-4</v>
      </c>
      <c r="F281">
        <v>0</v>
      </c>
    </row>
    <row r="282" spans="1:6" x14ac:dyDescent="0.2">
      <c r="A282" s="54" t="s">
        <v>304</v>
      </c>
      <c r="B282" s="2">
        <v>1.341E-5</v>
      </c>
      <c r="C282">
        <v>0</v>
      </c>
      <c r="D282" s="2">
        <v>-4.0840000000000002E-6</v>
      </c>
      <c r="E282" s="2">
        <v>5.1769999999999997E-6</v>
      </c>
      <c r="F282">
        <v>0</v>
      </c>
    </row>
    <row r="283" spans="1:6" x14ac:dyDescent="0.2">
      <c r="A283" s="54" t="s">
        <v>305</v>
      </c>
      <c r="B283" s="2">
        <v>8.5000000000000001E-7</v>
      </c>
      <c r="C283">
        <v>0</v>
      </c>
      <c r="D283" s="2">
        <v>-5.4539999999999998E-6</v>
      </c>
      <c r="E283" s="2">
        <v>4.6840000000000004E-6</v>
      </c>
      <c r="F283">
        <v>0</v>
      </c>
    </row>
    <row r="284" spans="1:6" x14ac:dyDescent="0.2">
      <c r="A284" s="54" t="s">
        <v>306</v>
      </c>
      <c r="B284">
        <v>1.1509999999999999E-3</v>
      </c>
      <c r="C284">
        <v>0.1</v>
      </c>
      <c r="D284" s="2">
        <v>-5.6189999999999999E-6</v>
      </c>
      <c r="E284">
        <v>1.09E-3</v>
      </c>
      <c r="F284">
        <v>0</v>
      </c>
    </row>
    <row r="285" spans="1:6" x14ac:dyDescent="0.2">
      <c r="A285" s="54" t="s">
        <v>307</v>
      </c>
      <c r="B285">
        <v>2.1880000000000001E-4</v>
      </c>
      <c r="C285">
        <v>0</v>
      </c>
      <c r="D285" s="2">
        <v>-7.5719999999999997E-6</v>
      </c>
      <c r="E285">
        <v>3.9970000000000001E-4</v>
      </c>
      <c r="F285">
        <v>0</v>
      </c>
    </row>
    <row r="286" spans="1:6" x14ac:dyDescent="0.2">
      <c r="A286" s="54" t="s">
        <v>308</v>
      </c>
      <c r="B286">
        <v>2.431E-4</v>
      </c>
      <c r="C286">
        <v>0</v>
      </c>
      <c r="D286" s="2">
        <v>-8.2889999999999998E-6</v>
      </c>
      <c r="E286" s="2">
        <v>8.3930000000000004E-5</v>
      </c>
      <c r="F286">
        <v>0</v>
      </c>
    </row>
    <row r="287" spans="1:6" x14ac:dyDescent="0.2">
      <c r="A287" s="54" t="s">
        <v>309</v>
      </c>
      <c r="B287">
        <v>2.1389999999999998E-3</v>
      </c>
      <c r="C287">
        <v>0.2</v>
      </c>
      <c r="D287" s="2">
        <v>-1.2269999999999999E-5</v>
      </c>
      <c r="E287">
        <v>1.06E-3</v>
      </c>
      <c r="F287">
        <v>0</v>
      </c>
    </row>
    <row r="288" spans="1:6" x14ac:dyDescent="0.2">
      <c r="A288" s="54" t="s">
        <v>310</v>
      </c>
      <c r="B288" s="2">
        <v>9.4779999999999997E-5</v>
      </c>
      <c r="C288">
        <v>0</v>
      </c>
      <c r="D288" s="2">
        <v>-1.395E-5</v>
      </c>
      <c r="E288" s="2">
        <v>2.1739999999999999E-5</v>
      </c>
      <c r="F288">
        <v>0</v>
      </c>
    </row>
    <row r="289" spans="1:6" x14ac:dyDescent="0.2">
      <c r="A289" s="54" t="s">
        <v>311</v>
      </c>
      <c r="B289">
        <v>1.5779999999999999E-4</v>
      </c>
      <c r="C289">
        <v>0</v>
      </c>
      <c r="D289" s="2">
        <v>-1.471E-5</v>
      </c>
      <c r="E289" s="2">
        <v>4.1100000000000003E-5</v>
      </c>
      <c r="F289">
        <v>0</v>
      </c>
    </row>
    <row r="290" spans="1:6" x14ac:dyDescent="0.2">
      <c r="A290" s="54" t="s">
        <v>312</v>
      </c>
      <c r="B290" s="2">
        <v>5.5999999999999999E-8</v>
      </c>
      <c r="C290">
        <v>0</v>
      </c>
      <c r="D290" s="2">
        <v>-1.853E-5</v>
      </c>
      <c r="E290" s="2">
        <v>7.357E-6</v>
      </c>
      <c r="F290">
        <v>0</v>
      </c>
    </row>
    <row r="291" spans="1:6" x14ac:dyDescent="0.2">
      <c r="A291" s="54" t="s">
        <v>313</v>
      </c>
      <c r="B291" s="2">
        <v>3.2119999999999997E-5</v>
      </c>
      <c r="C291">
        <v>0</v>
      </c>
      <c r="D291" s="2">
        <v>-2.0020000000000001E-5</v>
      </c>
      <c r="E291" s="2">
        <v>4.2899999999999999E-5</v>
      </c>
      <c r="F291">
        <v>0</v>
      </c>
    </row>
    <row r="292" spans="1:6" x14ac:dyDescent="0.2">
      <c r="A292" s="54" t="s">
        <v>314</v>
      </c>
      <c r="B292" s="2">
        <v>4.2350000000000001E-6</v>
      </c>
      <c r="C292">
        <v>0</v>
      </c>
      <c r="D292" s="2">
        <v>-2.675E-5</v>
      </c>
      <c r="E292" s="2">
        <v>6.8419999999999999E-6</v>
      </c>
      <c r="F292">
        <v>0</v>
      </c>
    </row>
    <row r="293" spans="1:6" x14ac:dyDescent="0.2">
      <c r="A293" s="54" t="s">
        <v>315</v>
      </c>
      <c r="B293">
        <v>4.2480000000000003E-4</v>
      </c>
      <c r="C293">
        <v>0</v>
      </c>
      <c r="D293" s="2">
        <v>-2.7209999999999999E-5</v>
      </c>
      <c r="E293">
        <v>8.1360000000000004E-4</v>
      </c>
      <c r="F293">
        <v>0</v>
      </c>
    </row>
    <row r="294" spans="1:6" x14ac:dyDescent="0.2">
      <c r="A294" s="54" t="s">
        <v>316</v>
      </c>
      <c r="B294">
        <v>1.4329999999999999E-4</v>
      </c>
      <c r="C294">
        <v>0</v>
      </c>
      <c r="D294" s="2">
        <v>-2.7719999999999999E-5</v>
      </c>
      <c r="E294">
        <v>1.259E-4</v>
      </c>
      <c r="F294">
        <v>0</v>
      </c>
    </row>
    <row r="295" spans="1:6" x14ac:dyDescent="0.2">
      <c r="A295" s="54" t="s">
        <v>317</v>
      </c>
      <c r="B295" s="2">
        <v>2.424E-6</v>
      </c>
      <c r="C295">
        <v>0</v>
      </c>
      <c r="D295" s="2">
        <v>-3.2419999999999998E-5</v>
      </c>
      <c r="E295" s="2">
        <v>1.206E-5</v>
      </c>
      <c r="F295">
        <v>0</v>
      </c>
    </row>
    <row r="296" spans="1:6" x14ac:dyDescent="0.2">
      <c r="A296" s="54" t="s">
        <v>318</v>
      </c>
      <c r="B296">
        <v>1.5410000000000001E-4</v>
      </c>
      <c r="C296">
        <v>0</v>
      </c>
      <c r="D296" s="2">
        <v>-3.5259999999999998E-5</v>
      </c>
      <c r="E296" s="2">
        <v>5.4870000000000002E-5</v>
      </c>
      <c r="F296">
        <v>0</v>
      </c>
    </row>
    <row r="297" spans="1:6" x14ac:dyDescent="0.2">
      <c r="A297" s="54" t="s">
        <v>319</v>
      </c>
      <c r="B297">
        <v>1.0399999999999999E-3</v>
      </c>
      <c r="C297">
        <v>0.1</v>
      </c>
      <c r="D297" s="2">
        <v>-3.5830000000000001E-5</v>
      </c>
      <c r="E297">
        <v>7.6029999999999999E-4</v>
      </c>
      <c r="F297">
        <v>0</v>
      </c>
    </row>
    <row r="298" spans="1:6" x14ac:dyDescent="0.2">
      <c r="A298" s="54" t="s">
        <v>320</v>
      </c>
      <c r="B298" s="2">
        <v>4.87E-6</v>
      </c>
      <c r="C298">
        <v>0</v>
      </c>
      <c r="D298" s="2">
        <v>-3.6480000000000003E-5</v>
      </c>
      <c r="E298" s="2">
        <v>1.2E-5</v>
      </c>
      <c r="F298">
        <v>0</v>
      </c>
    </row>
    <row r="299" spans="1:6" x14ac:dyDescent="0.2">
      <c r="A299" s="54" t="s">
        <v>321</v>
      </c>
      <c r="B299" s="2">
        <v>3.597E-6</v>
      </c>
      <c r="C299">
        <v>0</v>
      </c>
      <c r="D299" s="2">
        <v>-3.9039999999999999E-5</v>
      </c>
      <c r="E299">
        <v>0</v>
      </c>
      <c r="F299">
        <v>0</v>
      </c>
    </row>
    <row r="300" spans="1:6" x14ac:dyDescent="0.2">
      <c r="A300" s="54" t="s">
        <v>322</v>
      </c>
      <c r="B300" s="2">
        <v>2.031E-5</v>
      </c>
      <c r="C300">
        <v>0</v>
      </c>
      <c r="D300" s="2">
        <v>-4.125E-5</v>
      </c>
      <c r="E300" s="2">
        <v>3.2570000000000002E-5</v>
      </c>
      <c r="F300">
        <v>0</v>
      </c>
    </row>
    <row r="301" spans="1:6" x14ac:dyDescent="0.2">
      <c r="A301" s="54" t="s">
        <v>323</v>
      </c>
      <c r="B301">
        <v>3.213E-4</v>
      </c>
      <c r="C301">
        <v>0</v>
      </c>
      <c r="D301" s="2">
        <v>-4.193E-5</v>
      </c>
      <c r="E301" s="2">
        <v>6.4060000000000007E-5</v>
      </c>
      <c r="F301">
        <v>0</v>
      </c>
    </row>
    <row r="302" spans="1:6" x14ac:dyDescent="0.2">
      <c r="A302" s="54" t="s">
        <v>324</v>
      </c>
      <c r="B302" s="2">
        <v>2.4049999999999998E-6</v>
      </c>
      <c r="C302">
        <v>0</v>
      </c>
      <c r="D302" s="2">
        <v>-4.3460000000000001E-5</v>
      </c>
      <c r="E302" s="2">
        <v>3.0630000000000003E-5</v>
      </c>
      <c r="F302">
        <v>0</v>
      </c>
    </row>
    <row r="303" spans="1:6" x14ac:dyDescent="0.2">
      <c r="A303" s="54" t="s">
        <v>325</v>
      </c>
      <c r="B303" s="2">
        <v>4.1690000000000002E-5</v>
      </c>
      <c r="C303">
        <v>0</v>
      </c>
      <c r="D303" s="2">
        <v>-4.498E-5</v>
      </c>
      <c r="E303">
        <v>1.607E-4</v>
      </c>
      <c r="F303">
        <v>0</v>
      </c>
    </row>
    <row r="304" spans="1:6" x14ac:dyDescent="0.2">
      <c r="A304" s="54" t="s">
        <v>326</v>
      </c>
      <c r="B304">
        <v>3.9740000000000001E-4</v>
      </c>
      <c r="C304">
        <v>0</v>
      </c>
      <c r="D304" s="2">
        <v>-4.6090000000000001E-5</v>
      </c>
      <c r="E304">
        <v>3.0150000000000001E-4</v>
      </c>
      <c r="F304">
        <v>0</v>
      </c>
    </row>
    <row r="305" spans="1:6" x14ac:dyDescent="0.2">
      <c r="A305" s="54" t="s">
        <v>327</v>
      </c>
      <c r="B305">
        <v>4.1530000000000001E-4</v>
      </c>
      <c r="C305">
        <v>0</v>
      </c>
      <c r="D305" s="2">
        <v>-4.7790000000000002E-5</v>
      </c>
      <c r="E305">
        <v>2.7409999999999999E-4</v>
      </c>
      <c r="F305">
        <v>0</v>
      </c>
    </row>
    <row r="306" spans="1:6" x14ac:dyDescent="0.2">
      <c r="A306" s="54" t="s">
        <v>328</v>
      </c>
      <c r="B306">
        <v>1.8799999999999999E-4</v>
      </c>
      <c r="C306">
        <v>0</v>
      </c>
      <c r="D306" s="2">
        <v>-6.6829999999999995E-5</v>
      </c>
      <c r="E306">
        <v>1.097E-4</v>
      </c>
      <c r="F306">
        <v>0</v>
      </c>
    </row>
    <row r="307" spans="1:6" x14ac:dyDescent="0.2">
      <c r="A307" s="54" t="s">
        <v>329</v>
      </c>
      <c r="B307" s="2">
        <v>2.667E-5</v>
      </c>
      <c r="C307">
        <v>0</v>
      </c>
      <c r="D307" s="2">
        <v>-6.9300000000000004E-5</v>
      </c>
      <c r="E307">
        <v>1.011E-4</v>
      </c>
      <c r="F307">
        <v>0</v>
      </c>
    </row>
    <row r="308" spans="1:6" x14ac:dyDescent="0.2">
      <c r="A308" s="54" t="s">
        <v>330</v>
      </c>
      <c r="B308">
        <v>2.663E-3</v>
      </c>
      <c r="C308">
        <v>0.3</v>
      </c>
      <c r="D308" s="2">
        <v>-8.2150000000000005E-5</v>
      </c>
      <c r="E308">
        <v>6.2239999999999995E-4</v>
      </c>
      <c r="F308">
        <v>-0.1</v>
      </c>
    </row>
    <row r="309" spans="1:6" x14ac:dyDescent="0.2">
      <c r="A309" s="54" t="s">
        <v>331</v>
      </c>
      <c r="B309">
        <v>1.534E-3</v>
      </c>
      <c r="C309">
        <v>0.2</v>
      </c>
      <c r="D309" s="2">
        <v>-8.3570000000000001E-5</v>
      </c>
      <c r="E309">
        <v>8.7080000000000002E-4</v>
      </c>
      <c r="F309">
        <v>-0.1</v>
      </c>
    </row>
    <row r="310" spans="1:6" x14ac:dyDescent="0.2">
      <c r="A310" s="54" t="s">
        <v>332</v>
      </c>
      <c r="B310">
        <v>1.7770000000000001E-4</v>
      </c>
      <c r="C310">
        <v>0</v>
      </c>
      <c r="D310" s="2">
        <v>-9.2559999999999995E-5</v>
      </c>
      <c r="E310">
        <v>1.077E-4</v>
      </c>
      <c r="F310">
        <v>-0.1</v>
      </c>
    </row>
    <row r="311" spans="1:6" x14ac:dyDescent="0.2">
      <c r="A311" s="54" t="s">
        <v>333</v>
      </c>
      <c r="B311">
        <v>4.2569999999999999E-4</v>
      </c>
      <c r="C311">
        <v>0</v>
      </c>
      <c r="D311" s="2">
        <v>-9.5199999999999997E-5</v>
      </c>
      <c r="E311">
        <v>1.205E-4</v>
      </c>
      <c r="F311">
        <v>-0.1</v>
      </c>
    </row>
    <row r="312" spans="1:6" x14ac:dyDescent="0.2">
      <c r="A312" s="54" t="s">
        <v>334</v>
      </c>
      <c r="B312">
        <v>2.4850000000000002E-4</v>
      </c>
      <c r="C312">
        <v>0</v>
      </c>
      <c r="D312">
        <v>-1.044E-4</v>
      </c>
      <c r="E312">
        <v>6.4369999999999998E-4</v>
      </c>
      <c r="F312">
        <v>-0.1</v>
      </c>
    </row>
    <row r="313" spans="1:6" x14ac:dyDescent="0.2">
      <c r="A313" s="54" t="s">
        <v>335</v>
      </c>
      <c r="B313">
        <v>1.1310000000000001E-3</v>
      </c>
      <c r="C313">
        <v>0.1</v>
      </c>
      <c r="D313">
        <v>-1.06E-4</v>
      </c>
      <c r="E313">
        <v>4.8569999999999999E-4</v>
      </c>
      <c r="F313">
        <v>-0.1</v>
      </c>
    </row>
    <row r="314" spans="1:6" x14ac:dyDescent="0.2">
      <c r="A314" s="54" t="s">
        <v>336</v>
      </c>
      <c r="B314">
        <v>1.6809999999999999E-4</v>
      </c>
      <c r="C314">
        <v>0</v>
      </c>
      <c r="D314">
        <v>-1.0739999999999999E-4</v>
      </c>
      <c r="E314">
        <v>1.37E-4</v>
      </c>
      <c r="F314">
        <v>-0.1</v>
      </c>
    </row>
    <row r="315" spans="1:6" x14ac:dyDescent="0.2">
      <c r="A315" s="54" t="s">
        <v>337</v>
      </c>
      <c r="B315">
        <v>3.3480000000000001E-4</v>
      </c>
      <c r="C315">
        <v>0</v>
      </c>
      <c r="D315">
        <v>-1.082E-4</v>
      </c>
      <c r="E315">
        <v>6.4159999999999998E-4</v>
      </c>
      <c r="F315">
        <v>-0.1</v>
      </c>
    </row>
    <row r="316" spans="1:6" x14ac:dyDescent="0.2">
      <c r="A316" s="54" t="s">
        <v>338</v>
      </c>
      <c r="B316">
        <v>1.335E-3</v>
      </c>
      <c r="C316">
        <v>0.1</v>
      </c>
      <c r="D316">
        <v>-1.175E-4</v>
      </c>
      <c r="E316">
        <v>1.3699999999999999E-3</v>
      </c>
      <c r="F316">
        <v>-0.1</v>
      </c>
    </row>
    <row r="317" spans="1:6" x14ac:dyDescent="0.2">
      <c r="A317" s="54" t="s">
        <v>339</v>
      </c>
      <c r="B317">
        <v>4.415E-4</v>
      </c>
      <c r="C317">
        <v>0</v>
      </c>
      <c r="D317">
        <v>-1.216E-4</v>
      </c>
      <c r="E317">
        <v>1.593E-4</v>
      </c>
      <c r="F317">
        <v>-0.1</v>
      </c>
    </row>
    <row r="318" spans="1:6" x14ac:dyDescent="0.2">
      <c r="A318" s="54" t="s">
        <v>340</v>
      </c>
      <c r="B318" s="2">
        <v>4.0639999999999997E-5</v>
      </c>
      <c r="C318">
        <v>0</v>
      </c>
      <c r="D318">
        <v>-1.2689999999999999E-4</v>
      </c>
      <c r="E318">
        <v>1.449E-4</v>
      </c>
      <c r="F318">
        <v>-0.1</v>
      </c>
    </row>
    <row r="319" spans="1:6" x14ac:dyDescent="0.2">
      <c r="A319" s="54" t="s">
        <v>341</v>
      </c>
      <c r="B319">
        <v>1.384E-4</v>
      </c>
      <c r="C319">
        <v>0</v>
      </c>
      <c r="D319">
        <v>-1.359E-4</v>
      </c>
      <c r="E319">
        <v>1.0950000000000001E-4</v>
      </c>
      <c r="F319">
        <v>-0.1</v>
      </c>
    </row>
    <row r="320" spans="1:6" x14ac:dyDescent="0.2">
      <c r="A320" s="54" t="s">
        <v>342</v>
      </c>
      <c r="B320" s="2">
        <v>1.8470000000000001E-5</v>
      </c>
      <c r="C320">
        <v>0</v>
      </c>
      <c r="D320">
        <v>-1.4770000000000001E-4</v>
      </c>
      <c r="E320" s="2">
        <v>6.2580000000000001E-5</v>
      </c>
      <c r="F320">
        <v>-0.1</v>
      </c>
    </row>
    <row r="321" spans="1:6" x14ac:dyDescent="0.2">
      <c r="A321" s="54" t="s">
        <v>343</v>
      </c>
      <c r="B321" s="2">
        <v>3.1529999999999998E-5</v>
      </c>
      <c r="C321">
        <v>0</v>
      </c>
      <c r="D321">
        <v>-1.506E-4</v>
      </c>
      <c r="E321" s="2">
        <v>7.2760000000000001E-5</v>
      </c>
      <c r="F321">
        <v>-0.1</v>
      </c>
    </row>
    <row r="322" spans="1:6" x14ac:dyDescent="0.2">
      <c r="A322" s="54" t="s">
        <v>344</v>
      </c>
      <c r="B322">
        <v>2.9299999999999999E-3</v>
      </c>
      <c r="C322">
        <v>0.3</v>
      </c>
      <c r="D322">
        <v>-1.5909999999999999E-4</v>
      </c>
      <c r="E322">
        <v>2.9090000000000001E-3</v>
      </c>
      <c r="F322">
        <v>-0.1</v>
      </c>
    </row>
    <row r="323" spans="1:6" x14ac:dyDescent="0.2">
      <c r="A323" s="54" t="s">
        <v>345</v>
      </c>
      <c r="B323">
        <v>2.2209999999999999E-3</v>
      </c>
      <c r="C323">
        <v>0.2</v>
      </c>
      <c r="D323">
        <v>-1.616E-4</v>
      </c>
      <c r="E323">
        <v>1.0970000000000001E-3</v>
      </c>
      <c r="F323">
        <v>-0.1</v>
      </c>
    </row>
    <row r="324" spans="1:6" x14ac:dyDescent="0.2">
      <c r="A324" s="54" t="s">
        <v>346</v>
      </c>
      <c r="B324" s="2">
        <v>9.0719999999999999E-5</v>
      </c>
      <c r="C324">
        <v>0</v>
      </c>
      <c r="D324">
        <v>-1.7200000000000001E-4</v>
      </c>
      <c r="E324" s="2">
        <v>1.8260000000000001E-5</v>
      </c>
      <c r="F324">
        <v>-0.1</v>
      </c>
    </row>
    <row r="325" spans="1:6" x14ac:dyDescent="0.2">
      <c r="A325" s="54" t="s">
        <v>347</v>
      </c>
      <c r="B325">
        <v>5.8359999999999998E-4</v>
      </c>
      <c r="C325">
        <v>0.1</v>
      </c>
      <c r="D325">
        <v>-1.7679999999999999E-4</v>
      </c>
      <c r="E325">
        <v>5.6380000000000004E-4</v>
      </c>
      <c r="F325">
        <v>-0.1</v>
      </c>
    </row>
    <row r="326" spans="1:6" x14ac:dyDescent="0.2">
      <c r="A326" s="54" t="s">
        <v>348</v>
      </c>
      <c r="B326">
        <v>4.542E-3</v>
      </c>
      <c r="C326">
        <v>0.5</v>
      </c>
      <c r="D326">
        <v>-1.7780000000000001E-4</v>
      </c>
      <c r="E326">
        <v>1.0820000000000001E-3</v>
      </c>
      <c r="F326">
        <v>-0.1</v>
      </c>
    </row>
    <row r="327" spans="1:6" x14ac:dyDescent="0.2">
      <c r="A327" s="54" t="s">
        <v>349</v>
      </c>
      <c r="B327">
        <v>1.662E-4</v>
      </c>
      <c r="C327">
        <v>0</v>
      </c>
      <c r="D327">
        <v>-1.7909999999999999E-4</v>
      </c>
      <c r="E327">
        <v>1.214E-4</v>
      </c>
      <c r="F327">
        <v>-0.1</v>
      </c>
    </row>
    <row r="328" spans="1:6" x14ac:dyDescent="0.2">
      <c r="A328" s="54" t="s">
        <v>350</v>
      </c>
      <c r="B328">
        <v>1.2830000000000001E-3</v>
      </c>
      <c r="C328">
        <v>0.1</v>
      </c>
      <c r="D328">
        <v>-1.9660000000000001E-4</v>
      </c>
      <c r="E328">
        <v>5.2660000000000001E-4</v>
      </c>
      <c r="F328">
        <v>-0.1</v>
      </c>
    </row>
    <row r="329" spans="1:6" x14ac:dyDescent="0.2">
      <c r="A329" s="54" t="s">
        <v>351</v>
      </c>
      <c r="B329" s="2">
        <v>9.8869999999999994E-5</v>
      </c>
      <c r="C329">
        <v>0</v>
      </c>
      <c r="D329">
        <v>-1.994E-4</v>
      </c>
      <c r="E329">
        <v>1.2980000000000001E-4</v>
      </c>
      <c r="F329">
        <v>-0.1</v>
      </c>
    </row>
    <row r="330" spans="1:6" x14ac:dyDescent="0.2">
      <c r="A330" s="54" t="s">
        <v>352</v>
      </c>
      <c r="B330">
        <v>5.8140000000000004E-4</v>
      </c>
      <c r="C330">
        <v>0.1</v>
      </c>
      <c r="D330">
        <v>-2.0340000000000001E-4</v>
      </c>
      <c r="E330">
        <v>4.2690000000000002E-4</v>
      </c>
      <c r="F330">
        <v>-0.1</v>
      </c>
    </row>
    <row r="331" spans="1:6" x14ac:dyDescent="0.2">
      <c r="A331" s="54" t="s">
        <v>353</v>
      </c>
      <c r="B331" s="2">
        <v>4.871E-5</v>
      </c>
      <c r="C331">
        <v>0</v>
      </c>
      <c r="D331">
        <v>-2.2709999999999999E-4</v>
      </c>
      <c r="E331">
        <v>1.039E-4</v>
      </c>
      <c r="F331">
        <v>-0.2</v>
      </c>
    </row>
    <row r="332" spans="1:6" x14ac:dyDescent="0.2">
      <c r="A332" s="54" t="s">
        <v>354</v>
      </c>
      <c r="B332">
        <v>1.418E-4</v>
      </c>
      <c r="C332">
        <v>0</v>
      </c>
      <c r="D332">
        <v>-2.3450000000000001E-4</v>
      </c>
      <c r="E332" s="2">
        <v>5.2159999999999997E-6</v>
      </c>
      <c r="F332">
        <v>-0.2</v>
      </c>
    </row>
    <row r="333" spans="1:6" x14ac:dyDescent="0.2">
      <c r="A333" s="54" t="s">
        <v>355</v>
      </c>
      <c r="B333">
        <v>1.1900000000000001E-4</v>
      </c>
      <c r="C333">
        <v>0</v>
      </c>
      <c r="D333">
        <v>-2.398E-4</v>
      </c>
      <c r="E333">
        <v>1.8679999999999999E-4</v>
      </c>
      <c r="F333">
        <v>-0.2</v>
      </c>
    </row>
    <row r="334" spans="1:6" x14ac:dyDescent="0.2">
      <c r="A334" s="54" t="s">
        <v>356</v>
      </c>
      <c r="B334">
        <v>1.261E-4</v>
      </c>
      <c r="C334">
        <v>0</v>
      </c>
      <c r="D334">
        <v>-2.631E-4</v>
      </c>
      <c r="E334">
        <v>2.109E-4</v>
      </c>
      <c r="F334">
        <v>-0.2</v>
      </c>
    </row>
    <row r="335" spans="1:6" x14ac:dyDescent="0.2">
      <c r="A335" s="54" t="s">
        <v>357</v>
      </c>
      <c r="B335" s="2">
        <v>1.4419999999999999E-5</v>
      </c>
      <c r="C335">
        <v>0</v>
      </c>
      <c r="D335">
        <v>-2.6439999999999998E-4</v>
      </c>
      <c r="E335" s="2">
        <v>5.736E-5</v>
      </c>
      <c r="F335">
        <v>-0.2</v>
      </c>
    </row>
    <row r="336" spans="1:6" x14ac:dyDescent="0.2">
      <c r="A336" s="54" t="s">
        <v>358</v>
      </c>
      <c r="B336" s="2">
        <v>5.2330000000000002E-5</v>
      </c>
      <c r="C336">
        <v>0</v>
      </c>
      <c r="D336">
        <v>-2.6699999999999998E-4</v>
      </c>
      <c r="E336" s="2">
        <v>9.9889999999999994E-5</v>
      </c>
      <c r="F336">
        <v>-0.2</v>
      </c>
    </row>
    <row r="337" spans="1:6" x14ac:dyDescent="0.2">
      <c r="A337" s="54" t="s">
        <v>359</v>
      </c>
      <c r="B337">
        <v>1.387E-2</v>
      </c>
      <c r="C337">
        <v>1.4</v>
      </c>
      <c r="D337">
        <v>-2.8850000000000002E-4</v>
      </c>
      <c r="E337">
        <v>4.901E-3</v>
      </c>
      <c r="F337">
        <v>-0.2</v>
      </c>
    </row>
    <row r="338" spans="1:6" x14ac:dyDescent="0.2">
      <c r="A338" s="54" t="s">
        <v>360</v>
      </c>
      <c r="B338">
        <v>1.9100000000000001E-4</v>
      </c>
      <c r="C338">
        <v>0</v>
      </c>
      <c r="D338">
        <v>-2.9100000000000003E-4</v>
      </c>
      <c r="E338">
        <v>2.195E-4</v>
      </c>
      <c r="F338">
        <v>-0.2</v>
      </c>
    </row>
    <row r="339" spans="1:6" x14ac:dyDescent="0.2">
      <c r="A339" s="54" t="s">
        <v>361</v>
      </c>
      <c r="B339">
        <v>1.337E-4</v>
      </c>
      <c r="C339">
        <v>0</v>
      </c>
      <c r="D339">
        <v>-2.9149999999999998E-4</v>
      </c>
      <c r="E339" s="2">
        <v>6.9740000000000007E-5</v>
      </c>
      <c r="F339">
        <v>-0.2</v>
      </c>
    </row>
    <row r="340" spans="1:6" x14ac:dyDescent="0.2">
      <c r="A340" s="54" t="s">
        <v>362</v>
      </c>
      <c r="B340">
        <v>1.661E-4</v>
      </c>
      <c r="C340">
        <v>0</v>
      </c>
      <c r="D340">
        <v>-2.9240000000000001E-4</v>
      </c>
      <c r="E340">
        <v>3.2860000000000002E-4</v>
      </c>
      <c r="F340">
        <v>-0.2</v>
      </c>
    </row>
    <row r="341" spans="1:6" x14ac:dyDescent="0.2">
      <c r="A341" s="54" t="s">
        <v>363</v>
      </c>
      <c r="B341">
        <v>3.1960000000000002E-4</v>
      </c>
      <c r="C341">
        <v>0</v>
      </c>
      <c r="D341">
        <v>-2.9329999999999997E-4</v>
      </c>
      <c r="E341">
        <v>3.679E-4</v>
      </c>
      <c r="F341">
        <v>-0.2</v>
      </c>
    </row>
    <row r="342" spans="1:6" x14ac:dyDescent="0.2">
      <c r="A342" s="54" t="s">
        <v>364</v>
      </c>
      <c r="B342">
        <v>3.2799999999999999E-3</v>
      </c>
      <c r="C342">
        <v>0.3</v>
      </c>
      <c r="D342">
        <v>-2.9550000000000003E-4</v>
      </c>
      <c r="E342">
        <v>1.2769999999999999E-3</v>
      </c>
      <c r="F342">
        <v>-0.2</v>
      </c>
    </row>
    <row r="343" spans="1:6" x14ac:dyDescent="0.2">
      <c r="A343" s="54" t="s">
        <v>365</v>
      </c>
      <c r="B343">
        <v>9.0370000000000001E-4</v>
      </c>
      <c r="C343">
        <v>0.1</v>
      </c>
      <c r="D343">
        <v>-3.0909999999999998E-4</v>
      </c>
      <c r="E343">
        <v>6.4429999999999999E-4</v>
      </c>
      <c r="F343">
        <v>-0.2</v>
      </c>
    </row>
    <row r="344" spans="1:6" x14ac:dyDescent="0.2">
      <c r="A344" s="54" t="s">
        <v>366</v>
      </c>
      <c r="B344">
        <v>5.1150000000000002E-4</v>
      </c>
      <c r="C344">
        <v>0.1</v>
      </c>
      <c r="D344">
        <v>-3.1169999999999999E-4</v>
      </c>
      <c r="E344">
        <v>1.784E-4</v>
      </c>
      <c r="F344">
        <v>-0.2</v>
      </c>
    </row>
    <row r="345" spans="1:6" x14ac:dyDescent="0.2">
      <c r="A345" s="54" t="s">
        <v>367</v>
      </c>
      <c r="B345">
        <v>1.1950000000000001E-3</v>
      </c>
      <c r="C345">
        <v>0.1</v>
      </c>
      <c r="D345">
        <v>-3.166E-4</v>
      </c>
      <c r="E345">
        <v>1.178E-3</v>
      </c>
      <c r="F345">
        <v>-0.2</v>
      </c>
    </row>
    <row r="346" spans="1:6" x14ac:dyDescent="0.2">
      <c r="A346" s="54" t="s">
        <v>368</v>
      </c>
      <c r="B346">
        <v>3.7300000000000001E-4</v>
      </c>
      <c r="C346">
        <v>0</v>
      </c>
      <c r="D346">
        <v>-3.4390000000000001E-4</v>
      </c>
      <c r="E346">
        <v>2.3479999999999999E-4</v>
      </c>
      <c r="F346">
        <v>-0.2</v>
      </c>
    </row>
    <row r="347" spans="1:6" x14ac:dyDescent="0.2">
      <c r="A347" s="54" t="s">
        <v>369</v>
      </c>
      <c r="B347">
        <v>3.8279999999999998E-3</v>
      </c>
      <c r="C347">
        <v>0.4</v>
      </c>
      <c r="D347">
        <v>-3.5980000000000002E-4</v>
      </c>
      <c r="E347">
        <v>2.9390000000000002E-3</v>
      </c>
      <c r="F347">
        <v>-0.2</v>
      </c>
    </row>
    <row r="348" spans="1:6" x14ac:dyDescent="0.2">
      <c r="A348" s="54" t="s">
        <v>370</v>
      </c>
      <c r="B348">
        <v>7.9659999999999996E-4</v>
      </c>
      <c r="C348">
        <v>0.1</v>
      </c>
      <c r="D348">
        <v>-3.6249999999999998E-4</v>
      </c>
      <c r="E348">
        <v>6.3270000000000004E-4</v>
      </c>
      <c r="F348">
        <v>-0.2</v>
      </c>
    </row>
    <row r="349" spans="1:6" x14ac:dyDescent="0.2">
      <c r="A349" s="54" t="s">
        <v>371</v>
      </c>
      <c r="B349">
        <v>1.8029999999999999E-4</v>
      </c>
      <c r="C349">
        <v>0</v>
      </c>
      <c r="D349">
        <v>-3.8390000000000001E-4</v>
      </c>
      <c r="E349">
        <v>1.719E-4</v>
      </c>
      <c r="F349">
        <v>-0.3</v>
      </c>
    </row>
    <row r="350" spans="1:6" x14ac:dyDescent="0.2">
      <c r="A350" s="54" t="s">
        <v>372</v>
      </c>
      <c r="B350">
        <v>3.6589999999999999E-3</v>
      </c>
      <c r="C350">
        <v>0.4</v>
      </c>
      <c r="D350">
        <v>-4.0069999999999998E-4</v>
      </c>
      <c r="E350">
        <v>1.488E-3</v>
      </c>
      <c r="F350">
        <v>-0.3</v>
      </c>
    </row>
    <row r="351" spans="1:6" x14ac:dyDescent="0.2">
      <c r="A351" s="54" t="s">
        <v>373</v>
      </c>
      <c r="B351">
        <v>3.6910000000000003E-4</v>
      </c>
      <c r="C351">
        <v>0</v>
      </c>
      <c r="D351">
        <v>-4.103E-4</v>
      </c>
      <c r="E351">
        <v>6.7369999999999995E-4</v>
      </c>
      <c r="F351">
        <v>-0.3</v>
      </c>
    </row>
    <row r="352" spans="1:6" x14ac:dyDescent="0.2">
      <c r="A352" s="54" t="s">
        <v>374</v>
      </c>
      <c r="B352">
        <v>1.2960000000000001E-4</v>
      </c>
      <c r="C352">
        <v>0</v>
      </c>
      <c r="D352">
        <v>-4.3169999999999998E-4</v>
      </c>
      <c r="E352" s="2">
        <v>9.8200000000000002E-5</v>
      </c>
      <c r="F352">
        <v>-0.3</v>
      </c>
    </row>
    <row r="353" spans="1:6" x14ac:dyDescent="0.2">
      <c r="A353" s="54" t="s">
        <v>375</v>
      </c>
      <c r="B353">
        <v>3.1389999999999999E-3</v>
      </c>
      <c r="C353">
        <v>0.3</v>
      </c>
      <c r="D353">
        <v>-4.37E-4</v>
      </c>
      <c r="E353">
        <v>1.1590000000000001E-3</v>
      </c>
      <c r="F353">
        <v>-0.3</v>
      </c>
    </row>
    <row r="354" spans="1:6" x14ac:dyDescent="0.2">
      <c r="A354" s="54" t="s">
        <v>376</v>
      </c>
      <c r="B354">
        <v>1.2640000000000001E-4</v>
      </c>
      <c r="C354">
        <v>0</v>
      </c>
      <c r="D354">
        <v>-4.4010000000000002E-4</v>
      </c>
      <c r="E354" s="2">
        <v>8.5989999999999995E-5</v>
      </c>
      <c r="F354">
        <v>-0.3</v>
      </c>
    </row>
    <row r="355" spans="1:6" x14ac:dyDescent="0.2">
      <c r="A355" s="54" t="s">
        <v>377</v>
      </c>
      <c r="B355">
        <v>4.013E-4</v>
      </c>
      <c r="C355">
        <v>0</v>
      </c>
      <c r="D355">
        <v>-4.4440000000000001E-4</v>
      </c>
      <c r="E355">
        <v>5.8370000000000004E-4</v>
      </c>
      <c r="F355">
        <v>-0.3</v>
      </c>
    </row>
    <row r="356" spans="1:6" x14ac:dyDescent="0.2">
      <c r="A356" s="54" t="s">
        <v>378</v>
      </c>
      <c r="B356">
        <v>4.4210000000000001E-4</v>
      </c>
      <c r="C356">
        <v>0</v>
      </c>
      <c r="D356">
        <v>-4.461E-4</v>
      </c>
      <c r="E356">
        <v>3.1930000000000001E-4</v>
      </c>
      <c r="F356">
        <v>-0.3</v>
      </c>
    </row>
    <row r="357" spans="1:6" x14ac:dyDescent="0.2">
      <c r="A357" s="54" t="s">
        <v>379</v>
      </c>
      <c r="B357">
        <v>4.684E-4</v>
      </c>
      <c r="C357">
        <v>0</v>
      </c>
      <c r="D357">
        <v>-4.5780000000000001E-4</v>
      </c>
      <c r="E357">
        <v>2.1479999999999999E-4</v>
      </c>
      <c r="F357">
        <v>-0.3</v>
      </c>
    </row>
    <row r="358" spans="1:6" x14ac:dyDescent="0.2">
      <c r="A358" s="54" t="s">
        <v>380</v>
      </c>
      <c r="B358">
        <v>2.5730000000000002E-4</v>
      </c>
      <c r="C358">
        <v>0</v>
      </c>
      <c r="D358">
        <v>-4.9700000000000005E-4</v>
      </c>
      <c r="E358">
        <v>2.476E-4</v>
      </c>
      <c r="F358">
        <v>-0.3</v>
      </c>
    </row>
    <row r="359" spans="1:6" x14ac:dyDescent="0.2">
      <c r="A359" s="54" t="s">
        <v>381</v>
      </c>
      <c r="B359">
        <v>2.689E-3</v>
      </c>
      <c r="C359">
        <v>0.3</v>
      </c>
      <c r="D359">
        <v>-4.9759999999999995E-4</v>
      </c>
      <c r="E359">
        <v>1.3209999999999999E-3</v>
      </c>
      <c r="F359">
        <v>-0.3</v>
      </c>
    </row>
    <row r="360" spans="1:6" x14ac:dyDescent="0.2">
      <c r="A360" s="54" t="s">
        <v>382</v>
      </c>
      <c r="B360" s="2">
        <v>7.4300000000000004E-5</v>
      </c>
      <c r="C360">
        <v>0</v>
      </c>
      <c r="D360">
        <v>-4.9790000000000001E-4</v>
      </c>
      <c r="E360">
        <v>1.7119999999999999E-4</v>
      </c>
      <c r="F360">
        <v>-0.3</v>
      </c>
    </row>
    <row r="361" spans="1:6" x14ac:dyDescent="0.2">
      <c r="A361" s="54" t="s">
        <v>383</v>
      </c>
      <c r="B361">
        <v>2.5950000000000002E-4</v>
      </c>
      <c r="C361">
        <v>0</v>
      </c>
      <c r="D361">
        <v>-4.9930000000000005E-4</v>
      </c>
      <c r="E361" s="2">
        <v>8.1899999999999999E-5</v>
      </c>
      <c r="F361">
        <v>-0.3</v>
      </c>
    </row>
    <row r="362" spans="1:6" x14ac:dyDescent="0.2">
      <c r="A362" s="54" t="s">
        <v>384</v>
      </c>
      <c r="B362">
        <v>3.6860000000000001E-4</v>
      </c>
      <c r="C362">
        <v>0</v>
      </c>
      <c r="D362">
        <v>-5.3129999999999996E-4</v>
      </c>
      <c r="E362">
        <v>4.4739999999999998E-4</v>
      </c>
      <c r="F362">
        <v>-0.4</v>
      </c>
    </row>
    <row r="363" spans="1:6" x14ac:dyDescent="0.2">
      <c r="A363" s="54" t="s">
        <v>385</v>
      </c>
      <c r="B363" s="2">
        <v>9.7590000000000006E-5</v>
      </c>
      <c r="C363">
        <v>0</v>
      </c>
      <c r="D363">
        <v>-5.5000000000000003E-4</v>
      </c>
      <c r="E363">
        <v>3.7800000000000003E-4</v>
      </c>
      <c r="F363">
        <v>-0.4</v>
      </c>
    </row>
    <row r="364" spans="1:6" x14ac:dyDescent="0.2">
      <c r="A364" s="54" t="s">
        <v>386</v>
      </c>
      <c r="B364">
        <v>5.0900000000000001E-4</v>
      </c>
      <c r="C364">
        <v>0.1</v>
      </c>
      <c r="D364">
        <v>-5.5150000000000002E-4</v>
      </c>
      <c r="E364">
        <v>5.0690000000000002E-4</v>
      </c>
      <c r="F364">
        <v>-0.4</v>
      </c>
    </row>
    <row r="365" spans="1:6" x14ac:dyDescent="0.2">
      <c r="A365" s="54" t="s">
        <v>387</v>
      </c>
      <c r="B365">
        <v>3.2019999999999998E-4</v>
      </c>
      <c r="C365">
        <v>0</v>
      </c>
      <c r="D365">
        <v>-5.7300000000000005E-4</v>
      </c>
      <c r="E365">
        <v>4.7790000000000002E-4</v>
      </c>
      <c r="F365">
        <v>-0.4</v>
      </c>
    </row>
    <row r="366" spans="1:6" x14ac:dyDescent="0.2">
      <c r="A366" s="54" t="s">
        <v>388</v>
      </c>
      <c r="B366">
        <v>1.48E-3</v>
      </c>
      <c r="C366">
        <v>0.1</v>
      </c>
      <c r="D366">
        <v>-5.7729999999999999E-4</v>
      </c>
      <c r="E366">
        <v>1.616E-3</v>
      </c>
      <c r="F366">
        <v>-0.4</v>
      </c>
    </row>
    <row r="367" spans="1:6" x14ac:dyDescent="0.2">
      <c r="A367" s="54" t="s">
        <v>389</v>
      </c>
      <c r="B367">
        <v>1.4289999999999999E-3</v>
      </c>
      <c r="C367">
        <v>0.1</v>
      </c>
      <c r="D367">
        <v>-5.8870000000000005E-4</v>
      </c>
      <c r="E367">
        <v>2.5590000000000001E-3</v>
      </c>
      <c r="F367">
        <v>-0.4</v>
      </c>
    </row>
    <row r="368" spans="1:6" x14ac:dyDescent="0.2">
      <c r="A368" s="54" t="s">
        <v>390</v>
      </c>
      <c r="B368">
        <v>2.173E-3</v>
      </c>
      <c r="C368">
        <v>0.2</v>
      </c>
      <c r="D368">
        <v>-6.0179999999999999E-4</v>
      </c>
      <c r="E368">
        <v>5.1009999999999998E-4</v>
      </c>
      <c r="F368">
        <v>-0.4</v>
      </c>
    </row>
    <row r="369" spans="1:6" x14ac:dyDescent="0.2">
      <c r="A369" s="54" t="s">
        <v>391</v>
      </c>
      <c r="B369">
        <v>5.733E-4</v>
      </c>
      <c r="C369">
        <v>0.1</v>
      </c>
      <c r="D369">
        <v>-6.0400000000000004E-4</v>
      </c>
      <c r="E369">
        <v>1.194E-3</v>
      </c>
      <c r="F369">
        <v>-0.4</v>
      </c>
    </row>
    <row r="370" spans="1:6" x14ac:dyDescent="0.2">
      <c r="A370" s="54" t="s">
        <v>392</v>
      </c>
      <c r="B370">
        <v>2.0100000000000001E-4</v>
      </c>
      <c r="C370">
        <v>0</v>
      </c>
      <c r="D370">
        <v>-6.1309999999999999E-4</v>
      </c>
      <c r="E370">
        <v>2.006E-4</v>
      </c>
      <c r="F370">
        <v>-0.4</v>
      </c>
    </row>
    <row r="371" spans="1:6" x14ac:dyDescent="0.2">
      <c r="A371" s="54" t="s">
        <v>393</v>
      </c>
      <c r="B371">
        <v>4.9830000000000002E-4</v>
      </c>
      <c r="C371">
        <v>0</v>
      </c>
      <c r="D371">
        <v>-6.1510000000000004E-4</v>
      </c>
      <c r="E371">
        <v>4.4319999999999999E-4</v>
      </c>
      <c r="F371">
        <v>-0.4</v>
      </c>
    </row>
    <row r="372" spans="1:6" x14ac:dyDescent="0.2">
      <c r="A372" s="54" t="s">
        <v>394</v>
      </c>
      <c r="B372">
        <v>7.7169999999999995E-4</v>
      </c>
      <c r="C372">
        <v>0.1</v>
      </c>
      <c r="D372">
        <v>-6.1830000000000001E-4</v>
      </c>
      <c r="E372">
        <v>8.9720000000000002E-4</v>
      </c>
      <c r="F372">
        <v>-0.4</v>
      </c>
    </row>
    <row r="373" spans="1:6" x14ac:dyDescent="0.2">
      <c r="A373" s="54" t="s">
        <v>395</v>
      </c>
      <c r="B373">
        <v>1.16E-3</v>
      </c>
      <c r="C373">
        <v>0.1</v>
      </c>
      <c r="D373">
        <v>-6.3159999999999996E-4</v>
      </c>
      <c r="E373">
        <v>6.2069999999999996E-4</v>
      </c>
      <c r="F373">
        <v>-0.4</v>
      </c>
    </row>
    <row r="374" spans="1:6" x14ac:dyDescent="0.2">
      <c r="A374" s="54" t="s">
        <v>396</v>
      </c>
      <c r="B374">
        <v>1.529E-4</v>
      </c>
      <c r="C374">
        <v>0</v>
      </c>
      <c r="D374">
        <v>-6.3770000000000005E-4</v>
      </c>
      <c r="E374">
        <v>2.5670000000000001E-4</v>
      </c>
      <c r="F374">
        <v>-0.4</v>
      </c>
    </row>
    <row r="375" spans="1:6" x14ac:dyDescent="0.2">
      <c r="A375" s="54" t="s">
        <v>397</v>
      </c>
      <c r="B375">
        <v>2.4439999999999998E-4</v>
      </c>
      <c r="C375">
        <v>0</v>
      </c>
      <c r="D375">
        <v>-6.4599999999999998E-4</v>
      </c>
      <c r="E375">
        <v>3.1040000000000001E-4</v>
      </c>
      <c r="F375">
        <v>-0.4</v>
      </c>
    </row>
    <row r="376" spans="1:6" x14ac:dyDescent="0.2">
      <c r="A376" s="54" t="s">
        <v>398</v>
      </c>
      <c r="B376">
        <v>1.1199999999999999E-3</v>
      </c>
      <c r="C376">
        <v>0.1</v>
      </c>
      <c r="D376">
        <v>-6.6520000000000001E-4</v>
      </c>
      <c r="E376">
        <v>5.2139999999999999E-4</v>
      </c>
      <c r="F376">
        <v>-0.5</v>
      </c>
    </row>
    <row r="377" spans="1:6" x14ac:dyDescent="0.2">
      <c r="A377" s="54" t="s">
        <v>399</v>
      </c>
      <c r="B377">
        <v>3.368E-4</v>
      </c>
      <c r="C377">
        <v>0</v>
      </c>
      <c r="D377">
        <v>-6.8280000000000001E-4</v>
      </c>
      <c r="E377">
        <v>1.2120000000000001E-4</v>
      </c>
      <c r="F377">
        <v>-0.5</v>
      </c>
    </row>
    <row r="378" spans="1:6" x14ac:dyDescent="0.2">
      <c r="A378" s="54" t="s">
        <v>400</v>
      </c>
      <c r="B378">
        <v>2.24E-4</v>
      </c>
      <c r="C378">
        <v>0</v>
      </c>
      <c r="D378">
        <v>-6.8360000000000003E-4</v>
      </c>
      <c r="E378">
        <v>2.6459999999999998E-4</v>
      </c>
      <c r="F378">
        <v>-0.5</v>
      </c>
    </row>
    <row r="379" spans="1:6" x14ac:dyDescent="0.2">
      <c r="A379" s="54" t="s">
        <v>401</v>
      </c>
      <c r="B379">
        <v>4.4920000000000002E-4</v>
      </c>
      <c r="C379">
        <v>0</v>
      </c>
      <c r="D379">
        <v>-6.9490000000000003E-4</v>
      </c>
      <c r="E379">
        <v>7.2340000000000002E-4</v>
      </c>
      <c r="F379">
        <v>-0.5</v>
      </c>
    </row>
    <row r="380" spans="1:6" x14ac:dyDescent="0.2">
      <c r="A380" s="54" t="s">
        <v>402</v>
      </c>
      <c r="B380">
        <v>1.827E-4</v>
      </c>
      <c r="C380">
        <v>0</v>
      </c>
      <c r="D380">
        <v>-6.9939999999999998E-4</v>
      </c>
      <c r="E380">
        <v>1.7799999999999999E-4</v>
      </c>
      <c r="F380">
        <v>-0.5</v>
      </c>
    </row>
    <row r="381" spans="1:6" x14ac:dyDescent="0.2">
      <c r="A381" s="54" t="s">
        <v>403</v>
      </c>
      <c r="B381">
        <v>3.0190000000000002E-4</v>
      </c>
      <c r="C381">
        <v>0</v>
      </c>
      <c r="D381">
        <v>-7.2749999999999996E-4</v>
      </c>
      <c r="E381">
        <v>1.615E-4</v>
      </c>
      <c r="F381">
        <v>-0.5</v>
      </c>
    </row>
    <row r="382" spans="1:6" x14ac:dyDescent="0.2">
      <c r="A382" s="54" t="s">
        <v>404</v>
      </c>
      <c r="B382">
        <v>8.8949999999999999E-4</v>
      </c>
      <c r="C382">
        <v>0.1</v>
      </c>
      <c r="D382">
        <v>-7.383E-4</v>
      </c>
      <c r="E382">
        <v>7.7200000000000001E-4</v>
      </c>
      <c r="F382">
        <v>-0.5</v>
      </c>
    </row>
    <row r="383" spans="1:6" x14ac:dyDescent="0.2">
      <c r="A383" s="54" t="s">
        <v>405</v>
      </c>
      <c r="B383">
        <v>3.6949999999999998E-4</v>
      </c>
      <c r="C383">
        <v>0</v>
      </c>
      <c r="D383">
        <v>-7.4410000000000003E-4</v>
      </c>
      <c r="E383">
        <v>4.6940000000000003E-4</v>
      </c>
      <c r="F383">
        <v>-0.5</v>
      </c>
    </row>
    <row r="384" spans="1:6" x14ac:dyDescent="0.2">
      <c r="A384" s="54" t="s">
        <v>406</v>
      </c>
      <c r="B384">
        <v>2.362E-4</v>
      </c>
      <c r="C384">
        <v>0</v>
      </c>
      <c r="D384">
        <v>-7.8010000000000004E-4</v>
      </c>
      <c r="E384">
        <v>2.589E-4</v>
      </c>
      <c r="F384">
        <v>-0.5</v>
      </c>
    </row>
    <row r="385" spans="1:6" x14ac:dyDescent="0.2">
      <c r="A385" s="54" t="s">
        <v>407</v>
      </c>
      <c r="B385">
        <v>5.2859999999999995E-4</v>
      </c>
      <c r="C385">
        <v>0.1</v>
      </c>
      <c r="D385">
        <v>-7.9219999999999996E-4</v>
      </c>
      <c r="E385">
        <v>9.6690000000000003E-4</v>
      </c>
      <c r="F385">
        <v>-0.5</v>
      </c>
    </row>
    <row r="386" spans="1:6" x14ac:dyDescent="0.2">
      <c r="A386" s="54" t="s">
        <v>408</v>
      </c>
      <c r="B386">
        <v>4.254E-3</v>
      </c>
      <c r="C386">
        <v>0.4</v>
      </c>
      <c r="D386">
        <v>-8.1070000000000003E-4</v>
      </c>
      <c r="E386">
        <v>3.0620000000000001E-3</v>
      </c>
      <c r="F386">
        <v>-0.6</v>
      </c>
    </row>
    <row r="387" spans="1:6" x14ac:dyDescent="0.2">
      <c r="A387" s="54" t="s">
        <v>409</v>
      </c>
      <c r="B387">
        <v>8.6350000000000001E-4</v>
      </c>
      <c r="C387">
        <v>0.1</v>
      </c>
      <c r="D387">
        <v>-8.187E-4</v>
      </c>
      <c r="E387">
        <v>9.5890000000000005E-4</v>
      </c>
      <c r="F387">
        <v>-0.6</v>
      </c>
    </row>
    <row r="388" spans="1:6" x14ac:dyDescent="0.2">
      <c r="A388" s="54" t="s">
        <v>410</v>
      </c>
      <c r="B388">
        <v>7.3959999999999998E-3</v>
      </c>
      <c r="C388">
        <v>0.7</v>
      </c>
      <c r="D388">
        <v>-8.2680000000000004E-4</v>
      </c>
      <c r="E388">
        <v>3.3210000000000002E-3</v>
      </c>
      <c r="F388">
        <v>-0.6</v>
      </c>
    </row>
    <row r="389" spans="1:6" x14ac:dyDescent="0.2">
      <c r="A389" s="54" t="s">
        <v>411</v>
      </c>
      <c r="B389">
        <v>1.591E-3</v>
      </c>
      <c r="C389">
        <v>0.2</v>
      </c>
      <c r="D389">
        <v>-8.7980000000000003E-4</v>
      </c>
      <c r="E389">
        <v>5.6470000000000001E-4</v>
      </c>
      <c r="F389">
        <v>-0.6</v>
      </c>
    </row>
    <row r="390" spans="1:6" x14ac:dyDescent="0.2">
      <c r="A390" s="54" t="s">
        <v>412</v>
      </c>
      <c r="B390">
        <v>5.9150000000000001E-4</v>
      </c>
      <c r="C390">
        <v>0.1</v>
      </c>
      <c r="D390">
        <v>-9.0490000000000004E-4</v>
      </c>
      <c r="E390">
        <v>3.8709999999999998E-4</v>
      </c>
      <c r="F390">
        <v>-0.6</v>
      </c>
    </row>
    <row r="391" spans="1:6" x14ac:dyDescent="0.2">
      <c r="A391" s="54" t="s">
        <v>413</v>
      </c>
      <c r="B391">
        <v>4.6989999999999998E-4</v>
      </c>
      <c r="C391">
        <v>0</v>
      </c>
      <c r="D391">
        <v>-9.1330000000000003E-4</v>
      </c>
      <c r="E391">
        <v>3.6600000000000001E-4</v>
      </c>
      <c r="F391">
        <v>-0.6</v>
      </c>
    </row>
    <row r="392" spans="1:6" x14ac:dyDescent="0.2">
      <c r="A392" s="54" t="s">
        <v>414</v>
      </c>
      <c r="B392">
        <v>9.0890000000000003E-4</v>
      </c>
      <c r="C392">
        <v>0.1</v>
      </c>
      <c r="D392">
        <v>-1.044E-3</v>
      </c>
      <c r="E392">
        <v>1.7090000000000001E-4</v>
      </c>
      <c r="F392">
        <v>-0.7</v>
      </c>
    </row>
    <row r="393" spans="1:6" x14ac:dyDescent="0.2">
      <c r="A393" s="54" t="s">
        <v>415</v>
      </c>
      <c r="B393">
        <v>5.7970000000000001E-3</v>
      </c>
      <c r="C393">
        <v>0.6</v>
      </c>
      <c r="D393">
        <v>-1.0709999999999999E-3</v>
      </c>
      <c r="E393">
        <v>2.797E-3</v>
      </c>
      <c r="F393">
        <v>-0.7</v>
      </c>
    </row>
    <row r="394" spans="1:6" x14ac:dyDescent="0.2">
      <c r="A394" s="54" t="s">
        <v>416</v>
      </c>
      <c r="B394">
        <v>1.818E-3</v>
      </c>
      <c r="C394">
        <v>0.2</v>
      </c>
      <c r="D394">
        <v>-1.072E-3</v>
      </c>
      <c r="E394">
        <v>5.8600000000000004E-4</v>
      </c>
      <c r="F394">
        <v>-0.7</v>
      </c>
    </row>
    <row r="395" spans="1:6" x14ac:dyDescent="0.2">
      <c r="A395" s="54" t="s">
        <v>417</v>
      </c>
      <c r="B395">
        <v>4.325E-4</v>
      </c>
      <c r="C395">
        <v>0</v>
      </c>
      <c r="D395">
        <v>-1.137E-3</v>
      </c>
      <c r="E395">
        <v>5.9230000000000003E-4</v>
      </c>
      <c r="F395">
        <v>-0.8</v>
      </c>
    </row>
    <row r="396" spans="1:6" x14ac:dyDescent="0.2">
      <c r="A396" s="54" t="s">
        <v>418</v>
      </c>
      <c r="B396">
        <v>3.7520000000000001E-3</v>
      </c>
      <c r="C396">
        <v>0.4</v>
      </c>
      <c r="D396">
        <v>-1.17E-3</v>
      </c>
      <c r="E396">
        <v>9.1029999999999995E-4</v>
      </c>
      <c r="F396">
        <v>-0.8</v>
      </c>
    </row>
    <row r="397" spans="1:6" x14ac:dyDescent="0.2">
      <c r="A397" s="54" t="s">
        <v>419</v>
      </c>
      <c r="B397">
        <v>1.573E-3</v>
      </c>
      <c r="C397">
        <v>0.2</v>
      </c>
      <c r="D397">
        <v>-1.243E-3</v>
      </c>
      <c r="E397">
        <v>8.6149999999999996E-4</v>
      </c>
      <c r="F397">
        <v>-0.9</v>
      </c>
    </row>
    <row r="398" spans="1:6" x14ac:dyDescent="0.2">
      <c r="A398" s="54" t="s">
        <v>420</v>
      </c>
      <c r="B398">
        <v>5.9949999999999999E-4</v>
      </c>
      <c r="C398">
        <v>0.1</v>
      </c>
      <c r="D398">
        <v>-1.3010000000000001E-3</v>
      </c>
      <c r="E398">
        <v>4.3019999999999999E-4</v>
      </c>
      <c r="F398">
        <v>-0.9</v>
      </c>
    </row>
    <row r="399" spans="1:6" x14ac:dyDescent="0.2">
      <c r="A399" s="54" t="s">
        <v>421</v>
      </c>
      <c r="B399">
        <v>5.5170000000000002E-3</v>
      </c>
      <c r="C399">
        <v>0.6</v>
      </c>
      <c r="D399">
        <v>-1.3110000000000001E-3</v>
      </c>
      <c r="E399">
        <v>2.3579999999999999E-3</v>
      </c>
      <c r="F399">
        <v>-0.9</v>
      </c>
    </row>
    <row r="400" spans="1:6" x14ac:dyDescent="0.2">
      <c r="A400" s="54" t="s">
        <v>422</v>
      </c>
      <c r="B400">
        <v>1.3270000000000001E-3</v>
      </c>
      <c r="C400">
        <v>0.1</v>
      </c>
      <c r="D400">
        <v>-1.488E-3</v>
      </c>
      <c r="E400">
        <v>1.5200000000000001E-3</v>
      </c>
      <c r="F400">
        <v>-1</v>
      </c>
    </row>
    <row r="401" spans="1:6" x14ac:dyDescent="0.2">
      <c r="A401" s="54" t="s">
        <v>423</v>
      </c>
      <c r="B401">
        <v>4.3169999999999997E-3</v>
      </c>
      <c r="C401">
        <v>0.4</v>
      </c>
      <c r="D401">
        <v>-1.5089999999999999E-3</v>
      </c>
      <c r="E401">
        <v>8.2870000000000003E-4</v>
      </c>
      <c r="F401">
        <v>-1</v>
      </c>
    </row>
    <row r="402" spans="1:6" x14ac:dyDescent="0.2">
      <c r="A402" s="54" t="s">
        <v>424</v>
      </c>
      <c r="B402">
        <v>2.2910000000000001E-3</v>
      </c>
      <c r="C402">
        <v>0.2</v>
      </c>
      <c r="D402">
        <v>-1.539E-3</v>
      </c>
      <c r="E402">
        <v>8.6970000000000005E-4</v>
      </c>
      <c r="F402">
        <v>-1.1000000000000001</v>
      </c>
    </row>
    <row r="403" spans="1:6" x14ac:dyDescent="0.2">
      <c r="A403" s="54" t="s">
        <v>425</v>
      </c>
      <c r="B403">
        <v>1.0269999999999999E-3</v>
      </c>
      <c r="C403">
        <v>0.1</v>
      </c>
      <c r="D403">
        <v>-1.542E-3</v>
      </c>
      <c r="E403">
        <v>6.0849999999999999E-4</v>
      </c>
      <c r="F403">
        <v>-1.1000000000000001</v>
      </c>
    </row>
    <row r="404" spans="1:6" x14ac:dyDescent="0.2">
      <c r="A404" s="54" t="s">
        <v>426</v>
      </c>
      <c r="B404">
        <v>1.0160000000000001E-2</v>
      </c>
      <c r="C404">
        <v>1</v>
      </c>
      <c r="D404">
        <v>-1.555E-3</v>
      </c>
      <c r="E404">
        <v>3.2130000000000001E-3</v>
      </c>
      <c r="F404">
        <v>-1.1000000000000001</v>
      </c>
    </row>
    <row r="405" spans="1:6" x14ac:dyDescent="0.2">
      <c r="A405" s="54" t="s">
        <v>427</v>
      </c>
      <c r="B405">
        <v>8.4409999999999997E-4</v>
      </c>
      <c r="C405">
        <v>0.1</v>
      </c>
      <c r="D405">
        <v>-1.591E-3</v>
      </c>
      <c r="E405">
        <v>6.2080000000000002E-4</v>
      </c>
      <c r="F405">
        <v>-1.1000000000000001</v>
      </c>
    </row>
    <row r="406" spans="1:6" x14ac:dyDescent="0.2">
      <c r="A406" s="54" t="s">
        <v>428</v>
      </c>
      <c r="B406">
        <v>1.333E-3</v>
      </c>
      <c r="C406">
        <v>0.1</v>
      </c>
      <c r="D406">
        <v>-1.6459999999999999E-3</v>
      </c>
      <c r="E406">
        <v>1.258E-3</v>
      </c>
      <c r="F406">
        <v>-1.1000000000000001</v>
      </c>
    </row>
    <row r="407" spans="1:6" x14ac:dyDescent="0.2">
      <c r="A407" s="54" t="s">
        <v>429</v>
      </c>
      <c r="B407">
        <v>6.5260000000000003E-4</v>
      </c>
      <c r="C407">
        <v>0.1</v>
      </c>
      <c r="D407">
        <v>-1.655E-3</v>
      </c>
      <c r="E407">
        <v>8.3880000000000001E-4</v>
      </c>
      <c r="F407">
        <v>-1.1000000000000001</v>
      </c>
    </row>
    <row r="408" spans="1:6" x14ac:dyDescent="0.2">
      <c r="A408" s="54" t="s">
        <v>430</v>
      </c>
      <c r="B408">
        <v>9.3489999999999997E-3</v>
      </c>
      <c r="C408">
        <v>0.9</v>
      </c>
      <c r="D408">
        <v>-1.694E-3</v>
      </c>
      <c r="E408">
        <v>5.1489999999999999E-3</v>
      </c>
      <c r="F408">
        <v>-1.2</v>
      </c>
    </row>
    <row r="409" spans="1:6" x14ac:dyDescent="0.2">
      <c r="A409" s="54" t="s">
        <v>431</v>
      </c>
      <c r="B409">
        <v>2.6949999999999999E-3</v>
      </c>
      <c r="C409">
        <v>0.3</v>
      </c>
      <c r="D409">
        <v>-1.6969999999999999E-3</v>
      </c>
      <c r="E409">
        <v>9.2349999999999995E-4</v>
      </c>
      <c r="F409">
        <v>-1.2</v>
      </c>
    </row>
    <row r="410" spans="1:6" x14ac:dyDescent="0.2">
      <c r="A410" s="54" t="s">
        <v>432</v>
      </c>
      <c r="B410">
        <v>1.5709999999999999E-3</v>
      </c>
      <c r="C410">
        <v>0.2</v>
      </c>
      <c r="D410">
        <v>-1.7669999999999999E-3</v>
      </c>
      <c r="E410">
        <v>8.2039999999999999E-4</v>
      </c>
      <c r="F410">
        <v>-1.2</v>
      </c>
    </row>
    <row r="411" spans="1:6" x14ac:dyDescent="0.2">
      <c r="A411" s="54" t="s">
        <v>433</v>
      </c>
      <c r="B411">
        <v>2.604E-3</v>
      </c>
      <c r="C411">
        <v>0.3</v>
      </c>
      <c r="D411">
        <v>-1.8320000000000001E-3</v>
      </c>
      <c r="E411">
        <v>8.3080000000000003E-4</v>
      </c>
      <c r="F411">
        <v>-1.3</v>
      </c>
    </row>
    <row r="412" spans="1:6" x14ac:dyDescent="0.2">
      <c r="A412" s="54" t="s">
        <v>434</v>
      </c>
      <c r="B412">
        <v>4.0079999999999998E-4</v>
      </c>
      <c r="C412">
        <v>0</v>
      </c>
      <c r="D412">
        <v>-1.8779999999999999E-3</v>
      </c>
      <c r="E412">
        <v>6.9399999999999996E-4</v>
      </c>
      <c r="F412">
        <v>-1.3</v>
      </c>
    </row>
    <row r="413" spans="1:6" x14ac:dyDescent="0.2">
      <c r="A413" s="54" t="s">
        <v>435</v>
      </c>
      <c r="B413">
        <v>5.3379999999999999E-3</v>
      </c>
      <c r="C413">
        <v>0.5</v>
      </c>
      <c r="D413">
        <v>-1.882E-3</v>
      </c>
      <c r="E413">
        <v>1.781E-3</v>
      </c>
      <c r="F413">
        <v>-1.3</v>
      </c>
    </row>
    <row r="414" spans="1:6" x14ac:dyDescent="0.2">
      <c r="A414" s="54" t="s">
        <v>436</v>
      </c>
      <c r="B414">
        <v>6.3880000000000002E-4</v>
      </c>
      <c r="C414">
        <v>0.1</v>
      </c>
      <c r="D414">
        <v>-1.9170000000000001E-3</v>
      </c>
      <c r="E414">
        <v>1.091E-3</v>
      </c>
      <c r="F414">
        <v>-1.3</v>
      </c>
    </row>
    <row r="415" spans="1:6" x14ac:dyDescent="0.2">
      <c r="A415" s="54" t="s">
        <v>437</v>
      </c>
      <c r="B415">
        <v>5.2859999999999995E-4</v>
      </c>
      <c r="C415">
        <v>0.1</v>
      </c>
      <c r="D415">
        <v>-1.92E-3</v>
      </c>
      <c r="E415">
        <v>9.4899999999999997E-4</v>
      </c>
      <c r="F415">
        <v>-1.3</v>
      </c>
    </row>
    <row r="416" spans="1:6" x14ac:dyDescent="0.2">
      <c r="A416" s="54" t="s">
        <v>438</v>
      </c>
      <c r="B416">
        <v>4.5909999999999996E-3</v>
      </c>
      <c r="C416">
        <v>0.5</v>
      </c>
      <c r="D416">
        <v>-1.923E-3</v>
      </c>
      <c r="E416">
        <v>1.8760000000000001E-3</v>
      </c>
      <c r="F416">
        <v>-1.3</v>
      </c>
    </row>
    <row r="417" spans="1:6" x14ac:dyDescent="0.2">
      <c r="A417" s="54" t="s">
        <v>439</v>
      </c>
      <c r="B417">
        <v>1.3990000000000001E-3</v>
      </c>
      <c r="C417">
        <v>0.1</v>
      </c>
      <c r="D417">
        <v>-2.0019999999999999E-3</v>
      </c>
      <c r="E417">
        <v>6.935E-4</v>
      </c>
      <c r="F417">
        <v>-1.4</v>
      </c>
    </row>
    <row r="418" spans="1:6" x14ac:dyDescent="0.2">
      <c r="A418" s="54" t="s">
        <v>440</v>
      </c>
      <c r="B418">
        <v>1.707E-3</v>
      </c>
      <c r="C418">
        <v>0.2</v>
      </c>
      <c r="D418">
        <v>-2.0100000000000001E-3</v>
      </c>
      <c r="E418">
        <v>9.8799999999999995E-4</v>
      </c>
      <c r="F418">
        <v>-1.4</v>
      </c>
    </row>
    <row r="419" spans="1:6" x14ac:dyDescent="0.2">
      <c r="A419" s="54" t="s">
        <v>441</v>
      </c>
      <c r="B419">
        <v>5.8430000000000005E-4</v>
      </c>
      <c r="C419">
        <v>0.1</v>
      </c>
      <c r="D419">
        <v>-2.0600000000000002E-3</v>
      </c>
      <c r="E419">
        <v>5.1809999999999996E-4</v>
      </c>
      <c r="F419">
        <v>-1.4</v>
      </c>
    </row>
    <row r="420" spans="1:6" x14ac:dyDescent="0.2">
      <c r="A420" s="54" t="s">
        <v>442</v>
      </c>
      <c r="B420">
        <v>4.1640000000000002E-3</v>
      </c>
      <c r="C420">
        <v>0.4</v>
      </c>
      <c r="D420">
        <v>-2.0820000000000001E-3</v>
      </c>
      <c r="E420">
        <v>1.634E-3</v>
      </c>
      <c r="F420">
        <v>-1.4</v>
      </c>
    </row>
    <row r="421" spans="1:6" x14ac:dyDescent="0.2">
      <c r="A421" s="54" t="s">
        <v>443</v>
      </c>
      <c r="B421">
        <v>3.211E-4</v>
      </c>
      <c r="C421">
        <v>0</v>
      </c>
      <c r="D421">
        <v>-2.1020000000000001E-3</v>
      </c>
      <c r="E421">
        <v>1.3669999999999999E-3</v>
      </c>
      <c r="F421">
        <v>-1.4</v>
      </c>
    </row>
    <row r="422" spans="1:6" x14ac:dyDescent="0.2">
      <c r="A422" s="54" t="s">
        <v>444</v>
      </c>
      <c r="B422">
        <v>6.881E-3</v>
      </c>
      <c r="C422">
        <v>0.7</v>
      </c>
      <c r="D422">
        <v>-2.1210000000000001E-3</v>
      </c>
      <c r="E422">
        <v>4.2570000000000004E-3</v>
      </c>
      <c r="F422">
        <v>-1.5</v>
      </c>
    </row>
    <row r="423" spans="1:6" x14ac:dyDescent="0.2">
      <c r="A423" s="54" t="s">
        <v>445</v>
      </c>
      <c r="B423">
        <v>6.9389999999999999E-3</v>
      </c>
      <c r="C423">
        <v>0.7</v>
      </c>
      <c r="D423">
        <v>-2.2109999999999999E-3</v>
      </c>
      <c r="E423">
        <v>2.199E-3</v>
      </c>
      <c r="F423">
        <v>-1.5</v>
      </c>
    </row>
    <row r="424" spans="1:6" x14ac:dyDescent="0.2">
      <c r="A424" s="54" t="s">
        <v>446</v>
      </c>
      <c r="B424">
        <v>2.2650000000000001E-3</v>
      </c>
      <c r="C424">
        <v>0.2</v>
      </c>
      <c r="D424">
        <v>-2.2160000000000001E-3</v>
      </c>
      <c r="E424">
        <v>1.699E-3</v>
      </c>
      <c r="F424">
        <v>-1.5</v>
      </c>
    </row>
    <row r="425" spans="1:6" x14ac:dyDescent="0.2">
      <c r="A425" s="54" t="s">
        <v>447</v>
      </c>
      <c r="B425">
        <v>1.1180000000000001E-3</v>
      </c>
      <c r="C425">
        <v>0.1</v>
      </c>
      <c r="D425">
        <v>-2.2239999999999998E-3</v>
      </c>
      <c r="E425">
        <v>1.498E-3</v>
      </c>
      <c r="F425">
        <v>-1.5</v>
      </c>
    </row>
    <row r="426" spans="1:6" x14ac:dyDescent="0.2">
      <c r="A426" s="54" t="s">
        <v>448</v>
      </c>
      <c r="B426">
        <v>1.1919999999999999E-3</v>
      </c>
      <c r="C426">
        <v>0.1</v>
      </c>
      <c r="D426">
        <v>-2.2650000000000001E-3</v>
      </c>
      <c r="E426">
        <v>1.6000000000000001E-3</v>
      </c>
      <c r="F426">
        <v>-1.6</v>
      </c>
    </row>
    <row r="427" spans="1:6" x14ac:dyDescent="0.2">
      <c r="A427" s="54" t="s">
        <v>449</v>
      </c>
      <c r="B427">
        <v>1.0430000000000001E-3</v>
      </c>
      <c r="C427">
        <v>0.1</v>
      </c>
      <c r="D427">
        <v>-2.6319999999999998E-3</v>
      </c>
      <c r="E427">
        <v>1.727E-3</v>
      </c>
      <c r="F427">
        <v>-1.8</v>
      </c>
    </row>
    <row r="428" spans="1:6" x14ac:dyDescent="0.2">
      <c r="A428" s="54" t="s">
        <v>450</v>
      </c>
      <c r="B428">
        <v>7.5420000000000001E-3</v>
      </c>
      <c r="C428">
        <v>0.8</v>
      </c>
      <c r="D428">
        <v>-2.6700000000000001E-3</v>
      </c>
      <c r="E428">
        <v>2.3470000000000001E-3</v>
      </c>
      <c r="F428">
        <v>-1.8</v>
      </c>
    </row>
    <row r="429" spans="1:6" x14ac:dyDescent="0.2">
      <c r="A429" s="54" t="s">
        <v>451</v>
      </c>
      <c r="B429">
        <v>3.5490000000000001E-3</v>
      </c>
      <c r="C429">
        <v>0.4</v>
      </c>
      <c r="D429">
        <v>-2.761E-3</v>
      </c>
      <c r="E429">
        <v>1.3060000000000001E-3</v>
      </c>
      <c r="F429">
        <v>-1.9</v>
      </c>
    </row>
    <row r="430" spans="1:6" x14ac:dyDescent="0.2">
      <c r="A430" s="54" t="s">
        <v>452</v>
      </c>
      <c r="B430">
        <v>5.4370000000000002E-2</v>
      </c>
      <c r="C430">
        <v>5.4</v>
      </c>
      <c r="D430">
        <v>-2.777E-3</v>
      </c>
      <c r="E430">
        <v>1.9259999999999999E-2</v>
      </c>
      <c r="F430">
        <v>-1.9</v>
      </c>
    </row>
    <row r="431" spans="1:6" x14ac:dyDescent="0.2">
      <c r="A431" s="54" t="s">
        <v>453</v>
      </c>
      <c r="B431">
        <v>7.3200000000000001E-3</v>
      </c>
      <c r="C431">
        <v>0.7</v>
      </c>
      <c r="D431">
        <v>-2.9789999999999999E-3</v>
      </c>
      <c r="E431">
        <v>5.0499999999999998E-3</v>
      </c>
      <c r="F431">
        <v>-2</v>
      </c>
    </row>
    <row r="432" spans="1:6" x14ac:dyDescent="0.2">
      <c r="A432" s="54" t="s">
        <v>454</v>
      </c>
      <c r="B432">
        <v>8.2799999999999992E-3</v>
      </c>
      <c r="C432">
        <v>0.8</v>
      </c>
      <c r="D432">
        <v>-3.009E-3</v>
      </c>
      <c r="E432">
        <v>6.2300000000000003E-3</v>
      </c>
      <c r="F432">
        <v>-2.1</v>
      </c>
    </row>
    <row r="433" spans="1:6" x14ac:dyDescent="0.2">
      <c r="A433" s="54" t="s">
        <v>455</v>
      </c>
      <c r="B433">
        <v>1.6459999999999999E-3</v>
      </c>
      <c r="C433">
        <v>0.2</v>
      </c>
      <c r="D433">
        <v>-3.3029999999999999E-3</v>
      </c>
      <c r="E433">
        <v>1.284E-3</v>
      </c>
      <c r="F433">
        <v>-2.2999999999999998</v>
      </c>
    </row>
    <row r="434" spans="1:6" x14ac:dyDescent="0.2">
      <c r="A434" s="54" t="s">
        <v>456</v>
      </c>
      <c r="B434">
        <v>1.0330000000000001E-3</v>
      </c>
      <c r="C434">
        <v>0.1</v>
      </c>
      <c r="D434">
        <v>-3.519E-3</v>
      </c>
      <c r="E434">
        <v>7.9940000000000002E-4</v>
      </c>
      <c r="F434">
        <v>-2.4</v>
      </c>
    </row>
    <row r="435" spans="1:6" x14ac:dyDescent="0.2">
      <c r="A435" s="54" t="s">
        <v>457</v>
      </c>
      <c r="B435">
        <v>1.048E-2</v>
      </c>
      <c r="C435">
        <v>1</v>
      </c>
      <c r="D435">
        <v>-3.9069999999999999E-3</v>
      </c>
      <c r="E435">
        <v>4.2630000000000003E-3</v>
      </c>
      <c r="F435">
        <v>-2.7</v>
      </c>
    </row>
    <row r="436" spans="1:6" x14ac:dyDescent="0.2">
      <c r="A436" s="54" t="s">
        <v>458</v>
      </c>
      <c r="B436">
        <v>8.0079999999999995E-3</v>
      </c>
      <c r="C436">
        <v>0.8</v>
      </c>
      <c r="D436">
        <v>-4.1099999999999999E-3</v>
      </c>
      <c r="E436">
        <v>2.565E-3</v>
      </c>
      <c r="F436">
        <v>-2.8</v>
      </c>
    </row>
    <row r="437" spans="1:6" x14ac:dyDescent="0.2">
      <c r="A437" s="54" t="s">
        <v>459</v>
      </c>
      <c r="B437">
        <v>1.103E-3</v>
      </c>
      <c r="C437">
        <v>0.1</v>
      </c>
      <c r="D437">
        <v>-4.2459999999999998E-3</v>
      </c>
      <c r="E437">
        <v>3.9110000000000002E-4</v>
      </c>
      <c r="F437">
        <v>-2.9</v>
      </c>
    </row>
    <row r="438" spans="1:6" x14ac:dyDescent="0.2">
      <c r="A438" s="54" t="s">
        <v>460</v>
      </c>
      <c r="B438">
        <v>1.068E-2</v>
      </c>
      <c r="C438">
        <v>1.1000000000000001</v>
      </c>
      <c r="D438">
        <v>-4.5009999999999998E-3</v>
      </c>
      <c r="E438">
        <v>6.3449999999999999E-3</v>
      </c>
      <c r="F438">
        <v>-3.1</v>
      </c>
    </row>
    <row r="439" spans="1:6" x14ac:dyDescent="0.2">
      <c r="A439" s="54" t="s">
        <v>461</v>
      </c>
      <c r="B439">
        <v>5.1650000000000003E-3</v>
      </c>
      <c r="C439">
        <v>0.5</v>
      </c>
      <c r="D439">
        <v>-4.5900000000000003E-3</v>
      </c>
      <c r="E439">
        <v>4.0559999999999997E-3</v>
      </c>
      <c r="F439">
        <v>-3.2</v>
      </c>
    </row>
    <row r="440" spans="1:6" x14ac:dyDescent="0.2">
      <c r="A440" s="54" t="s">
        <v>462</v>
      </c>
      <c r="B440">
        <v>6.6379999999999998E-3</v>
      </c>
      <c r="C440">
        <v>0.7</v>
      </c>
      <c r="D440">
        <v>-5.202E-3</v>
      </c>
      <c r="E440">
        <v>3.1840000000000002E-3</v>
      </c>
      <c r="F440">
        <v>-3.6</v>
      </c>
    </row>
    <row r="441" spans="1:6" x14ac:dyDescent="0.2">
      <c r="A441" s="54" t="s">
        <v>463</v>
      </c>
      <c r="B441">
        <v>2.1210000000000001E-3</v>
      </c>
      <c r="C441">
        <v>0.2</v>
      </c>
      <c r="D441">
        <v>-5.3030000000000004E-3</v>
      </c>
      <c r="E441">
        <v>1.47E-3</v>
      </c>
      <c r="F441">
        <v>-3.6</v>
      </c>
    </row>
    <row r="442" spans="1:6" x14ac:dyDescent="0.2">
      <c r="A442" s="54" t="s">
        <v>464</v>
      </c>
      <c r="B442">
        <v>4.3220000000000003E-3</v>
      </c>
      <c r="C442">
        <v>0.4</v>
      </c>
      <c r="D442">
        <v>-5.3579999999999999E-3</v>
      </c>
      <c r="E442">
        <v>2.0230000000000001E-3</v>
      </c>
      <c r="F442">
        <v>-3.7</v>
      </c>
    </row>
    <row r="443" spans="1:6" x14ac:dyDescent="0.2">
      <c r="A443" s="54" t="s">
        <v>465</v>
      </c>
      <c r="B443">
        <v>6.4479999999999997E-3</v>
      </c>
      <c r="C443">
        <v>0.6</v>
      </c>
      <c r="D443">
        <v>-7.3670000000000003E-3</v>
      </c>
      <c r="E443">
        <v>4.633E-3</v>
      </c>
      <c r="F443">
        <v>-5.0999999999999996</v>
      </c>
    </row>
    <row r="444" spans="1:6" x14ac:dyDescent="0.2">
      <c r="A444" s="54" t="s">
        <v>466</v>
      </c>
      <c r="B444">
        <v>4.6829999999999997E-3</v>
      </c>
      <c r="C444">
        <v>0.5</v>
      </c>
      <c r="D444">
        <v>-7.7079999999999996E-3</v>
      </c>
      <c r="E444">
        <v>2.4380000000000001E-3</v>
      </c>
      <c r="F444">
        <v>-5.3</v>
      </c>
    </row>
    <row r="445" spans="1:6" x14ac:dyDescent="0.2">
      <c r="A445" s="54" t="s">
        <v>467</v>
      </c>
      <c r="B445">
        <v>1.531E-3</v>
      </c>
      <c r="C445">
        <v>0.2</v>
      </c>
      <c r="D445">
        <v>-7.7660000000000003E-3</v>
      </c>
      <c r="E445">
        <v>6.6140000000000003E-4</v>
      </c>
      <c r="F445">
        <v>-5.3</v>
      </c>
    </row>
    <row r="446" spans="1:6" x14ac:dyDescent="0.2">
      <c r="A446" s="54" t="s">
        <v>468</v>
      </c>
      <c r="B446">
        <v>6.9199999999999999E-3</v>
      </c>
      <c r="C446">
        <v>0.7</v>
      </c>
      <c r="D446">
        <v>-8.2410000000000001E-3</v>
      </c>
      <c r="E446">
        <v>4.7499999999999999E-3</v>
      </c>
      <c r="F446">
        <v>-5.7</v>
      </c>
    </row>
    <row r="447" spans="1:6" x14ac:dyDescent="0.2">
      <c r="A447" s="54" t="s">
        <v>469</v>
      </c>
      <c r="B447">
        <v>8.3280000000000003E-3</v>
      </c>
      <c r="C447">
        <v>0.8</v>
      </c>
      <c r="D447">
        <v>-8.3899999999999999E-3</v>
      </c>
      <c r="E447">
        <v>3.4259999999999998E-3</v>
      </c>
      <c r="F447">
        <v>-5.8</v>
      </c>
    </row>
    <row r="448" spans="1:6" x14ac:dyDescent="0.2">
      <c r="A448" s="54" t="s">
        <v>470</v>
      </c>
      <c r="B448">
        <v>1.0999999999999999E-2</v>
      </c>
      <c r="C448">
        <v>1.1000000000000001</v>
      </c>
      <c r="D448">
        <v>-8.4930000000000005E-3</v>
      </c>
      <c r="E448">
        <v>1.9139999999999999E-3</v>
      </c>
      <c r="F448">
        <v>-5.8</v>
      </c>
    </row>
    <row r="449" spans="1:6" x14ac:dyDescent="0.2">
      <c r="A449" s="54" t="s">
        <v>471</v>
      </c>
      <c r="B449">
        <v>2.0049999999999998E-2</v>
      </c>
      <c r="C449">
        <v>2</v>
      </c>
      <c r="D449">
        <v>-1.426E-2</v>
      </c>
      <c r="E449">
        <v>5.6670000000000002E-3</v>
      </c>
      <c r="F449">
        <v>-9.8000000000000007</v>
      </c>
    </row>
    <row r="453" spans="1:6" ht="19" x14ac:dyDescent="0.25">
      <c r="A453" s="44" t="s">
        <v>5</v>
      </c>
      <c r="B453" s="44"/>
      <c r="C453" s="44"/>
      <c r="D453" s="44"/>
      <c r="E453" s="44"/>
      <c r="F453" s="44"/>
    </row>
    <row r="454" spans="1:6" x14ac:dyDescent="0.2">
      <c r="B454" s="22"/>
      <c r="C454" s="23"/>
      <c r="D454" s="22"/>
      <c r="E454" s="22"/>
      <c r="F454" s="23"/>
    </row>
    <row r="455" spans="1:6" x14ac:dyDescent="0.2">
      <c r="A455" s="54" t="s">
        <v>21</v>
      </c>
      <c r="B455" s="22"/>
      <c r="C455" s="23"/>
      <c r="D455" s="22"/>
      <c r="E455" s="22"/>
      <c r="F455" s="23"/>
    </row>
    <row r="456" spans="1:6" x14ac:dyDescent="0.2">
      <c r="B456" s="22"/>
      <c r="C456" s="23"/>
      <c r="D456" s="22"/>
      <c r="E456" s="22"/>
      <c r="F456" s="23"/>
    </row>
    <row r="457" spans="1:6" x14ac:dyDescent="0.2">
      <c r="A457" s="55" t="s">
        <v>22</v>
      </c>
      <c r="B457" s="24" t="s">
        <v>23</v>
      </c>
      <c r="C457" s="25" t="s">
        <v>24</v>
      </c>
      <c r="D457" s="24" t="s">
        <v>25</v>
      </c>
      <c r="E457" s="24" t="s">
        <v>26</v>
      </c>
      <c r="F457" s="25" t="s">
        <v>27</v>
      </c>
    </row>
    <row r="458" spans="1:6" x14ac:dyDescent="0.2">
      <c r="A458" s="54" t="s">
        <v>31</v>
      </c>
      <c r="B458">
        <v>8.8389999999999996E-2</v>
      </c>
      <c r="C458">
        <v>8.8000000000000007</v>
      </c>
      <c r="D458">
        <v>0.1048</v>
      </c>
      <c r="E458">
        <v>4.1930000000000002E-2</v>
      </c>
      <c r="F458">
        <v>27.3</v>
      </c>
    </row>
    <row r="459" spans="1:6" x14ac:dyDescent="0.2">
      <c r="A459" s="54" t="s">
        <v>30</v>
      </c>
      <c r="B459">
        <v>8.2019999999999996E-2</v>
      </c>
      <c r="C459">
        <v>8.1999999999999993</v>
      </c>
      <c r="D459">
        <v>6.2619999999999995E-2</v>
      </c>
      <c r="E459">
        <v>3.8649999999999997E-2</v>
      </c>
      <c r="F459">
        <v>16.3</v>
      </c>
    </row>
    <row r="460" spans="1:6" x14ac:dyDescent="0.2">
      <c r="A460" s="54" t="s">
        <v>33</v>
      </c>
      <c r="B460">
        <v>4.1549999999999997E-2</v>
      </c>
      <c r="C460">
        <v>4.2</v>
      </c>
      <c r="D460">
        <v>4.6760000000000003E-2</v>
      </c>
      <c r="E460">
        <v>3.1870000000000002E-2</v>
      </c>
      <c r="F460">
        <v>12.2</v>
      </c>
    </row>
    <row r="461" spans="1:6" x14ac:dyDescent="0.2">
      <c r="A461" s="54" t="s">
        <v>29</v>
      </c>
      <c r="B461">
        <v>2.1780000000000001E-2</v>
      </c>
      <c r="C461">
        <v>2.2000000000000002</v>
      </c>
      <c r="D461">
        <v>3.1870000000000002E-2</v>
      </c>
      <c r="E461">
        <v>1.6660000000000001E-2</v>
      </c>
      <c r="F461">
        <v>8.3000000000000007</v>
      </c>
    </row>
    <row r="462" spans="1:6" x14ac:dyDescent="0.2">
      <c r="A462" s="54" t="s">
        <v>112</v>
      </c>
      <c r="B462">
        <v>2.605E-2</v>
      </c>
      <c r="C462">
        <v>2.6</v>
      </c>
      <c r="D462">
        <v>2.775E-2</v>
      </c>
      <c r="E462">
        <v>9.9380000000000007E-3</v>
      </c>
      <c r="F462">
        <v>7.2</v>
      </c>
    </row>
    <row r="463" spans="1:6" x14ac:dyDescent="0.2">
      <c r="A463" s="54" t="s">
        <v>44</v>
      </c>
      <c r="B463">
        <v>2.3060000000000001E-2</v>
      </c>
      <c r="C463">
        <v>2.2999999999999998</v>
      </c>
      <c r="D463">
        <v>2.479E-2</v>
      </c>
      <c r="E463">
        <v>9.0240000000000008E-3</v>
      </c>
      <c r="F463">
        <v>6.5</v>
      </c>
    </row>
    <row r="464" spans="1:6" x14ac:dyDescent="0.2">
      <c r="A464" s="54" t="s">
        <v>470</v>
      </c>
      <c r="B464">
        <v>3.0870000000000002E-2</v>
      </c>
      <c r="C464">
        <v>3.1</v>
      </c>
      <c r="D464">
        <v>2.3939999999999999E-2</v>
      </c>
      <c r="E464">
        <v>1.856E-2</v>
      </c>
      <c r="F464">
        <v>6.2</v>
      </c>
    </row>
    <row r="465" spans="1:6" x14ac:dyDescent="0.2">
      <c r="A465" s="54" t="s">
        <v>28</v>
      </c>
      <c r="B465">
        <v>0.12189999999999999</v>
      </c>
      <c r="C465">
        <v>12.2</v>
      </c>
      <c r="D465">
        <v>2.0670000000000001E-2</v>
      </c>
      <c r="E465">
        <v>6.7780000000000007E-2</v>
      </c>
      <c r="F465">
        <v>5.4</v>
      </c>
    </row>
    <row r="466" spans="1:6" x14ac:dyDescent="0.2">
      <c r="A466" s="54" t="s">
        <v>108</v>
      </c>
      <c r="B466">
        <v>1.609E-3</v>
      </c>
      <c r="C466">
        <v>0.2</v>
      </c>
      <c r="D466">
        <v>2.0140000000000002E-2</v>
      </c>
      <c r="E466">
        <v>8.0370000000000007E-3</v>
      </c>
      <c r="F466">
        <v>5.2</v>
      </c>
    </row>
    <row r="467" spans="1:6" x14ac:dyDescent="0.2">
      <c r="A467" s="54" t="s">
        <v>54</v>
      </c>
      <c r="B467">
        <v>6.097E-3</v>
      </c>
      <c r="C467">
        <v>0.6</v>
      </c>
      <c r="D467">
        <v>1.7780000000000001E-2</v>
      </c>
      <c r="E467">
        <v>4.0470000000000002E-3</v>
      </c>
      <c r="F467">
        <v>4.5999999999999996</v>
      </c>
    </row>
    <row r="468" spans="1:6" x14ac:dyDescent="0.2">
      <c r="A468" s="54" t="s">
        <v>146</v>
      </c>
      <c r="B468">
        <v>8.7939999999999997E-3</v>
      </c>
      <c r="C468">
        <v>0.9</v>
      </c>
      <c r="D468">
        <v>1.32E-2</v>
      </c>
      <c r="E468">
        <v>1.2200000000000001E-2</v>
      </c>
      <c r="F468">
        <v>3.4</v>
      </c>
    </row>
    <row r="469" spans="1:6" x14ac:dyDescent="0.2">
      <c r="A469" s="54" t="s">
        <v>457</v>
      </c>
      <c r="B469">
        <v>2.35E-2</v>
      </c>
      <c r="C469">
        <v>2.4</v>
      </c>
      <c r="D469">
        <v>1.205E-2</v>
      </c>
      <c r="E469">
        <v>1.057E-2</v>
      </c>
      <c r="F469">
        <v>3.1</v>
      </c>
    </row>
    <row r="470" spans="1:6" x14ac:dyDescent="0.2">
      <c r="A470" s="54" t="s">
        <v>427</v>
      </c>
      <c r="B470">
        <v>9.8740000000000008E-3</v>
      </c>
      <c r="C470">
        <v>1</v>
      </c>
      <c r="D470">
        <v>1.1180000000000001E-2</v>
      </c>
      <c r="E470">
        <v>5.2610000000000001E-3</v>
      </c>
      <c r="F470">
        <v>2.9</v>
      </c>
    </row>
    <row r="471" spans="1:6" x14ac:dyDescent="0.2">
      <c r="A471" s="54" t="s">
        <v>415</v>
      </c>
      <c r="B471">
        <v>6.8960000000000002E-3</v>
      </c>
      <c r="C471">
        <v>0.7</v>
      </c>
      <c r="D471">
        <v>1.0319999999999999E-2</v>
      </c>
      <c r="E471">
        <v>2.1289999999999998E-3</v>
      </c>
      <c r="F471">
        <v>2.7</v>
      </c>
    </row>
    <row r="472" spans="1:6" x14ac:dyDescent="0.2">
      <c r="A472" s="54" t="s">
        <v>43</v>
      </c>
      <c r="B472">
        <v>6.4799999999999996E-3</v>
      </c>
      <c r="C472">
        <v>0.6</v>
      </c>
      <c r="D472">
        <v>8.378E-3</v>
      </c>
      <c r="E472">
        <v>4.1460000000000004E-3</v>
      </c>
      <c r="F472">
        <v>2.2000000000000002</v>
      </c>
    </row>
    <row r="473" spans="1:6" x14ac:dyDescent="0.2">
      <c r="A473" s="54" t="s">
        <v>318</v>
      </c>
      <c r="B473">
        <v>1.2189999999999999E-2</v>
      </c>
      <c r="C473">
        <v>1.2</v>
      </c>
      <c r="D473">
        <v>8.0059999999999992E-3</v>
      </c>
      <c r="E473">
        <v>6.1460000000000004E-3</v>
      </c>
      <c r="F473">
        <v>2.1</v>
      </c>
    </row>
    <row r="474" spans="1:6" x14ac:dyDescent="0.2">
      <c r="A474" s="54" t="s">
        <v>372</v>
      </c>
      <c r="B474">
        <v>1.98E-3</v>
      </c>
      <c r="C474">
        <v>0.2</v>
      </c>
      <c r="D474">
        <v>7.9509999999999997E-3</v>
      </c>
      <c r="E474">
        <v>4.8009999999999997E-3</v>
      </c>
      <c r="F474">
        <v>2.1</v>
      </c>
    </row>
    <row r="475" spans="1:6" x14ac:dyDescent="0.2">
      <c r="A475" s="54" t="s">
        <v>331</v>
      </c>
      <c r="B475">
        <v>9.0089999999999996E-3</v>
      </c>
      <c r="C475">
        <v>0.9</v>
      </c>
      <c r="D475">
        <v>7.9170000000000004E-3</v>
      </c>
      <c r="E475">
        <v>6.8339999999999998E-3</v>
      </c>
      <c r="F475">
        <v>2.1</v>
      </c>
    </row>
    <row r="476" spans="1:6" x14ac:dyDescent="0.2">
      <c r="A476" s="54" t="s">
        <v>408</v>
      </c>
      <c r="B476">
        <v>5.0670000000000003E-3</v>
      </c>
      <c r="C476">
        <v>0.5</v>
      </c>
      <c r="D476">
        <v>6.8300000000000001E-3</v>
      </c>
      <c r="E476">
        <v>5.4260000000000003E-3</v>
      </c>
      <c r="F476">
        <v>1.8</v>
      </c>
    </row>
    <row r="477" spans="1:6" x14ac:dyDescent="0.2">
      <c r="A477" s="54" t="s">
        <v>343</v>
      </c>
      <c r="B477">
        <v>3.7950000000000002E-3</v>
      </c>
      <c r="C477">
        <v>0.4</v>
      </c>
      <c r="D477">
        <v>5.62E-3</v>
      </c>
      <c r="E477">
        <v>3.5729999999999998E-3</v>
      </c>
      <c r="F477">
        <v>1.5</v>
      </c>
    </row>
    <row r="478" spans="1:6" x14ac:dyDescent="0.2">
      <c r="A478" s="54" t="s">
        <v>460</v>
      </c>
      <c r="B478">
        <v>3.718E-3</v>
      </c>
      <c r="C478">
        <v>0.4</v>
      </c>
      <c r="D478">
        <v>4.6620000000000003E-3</v>
      </c>
      <c r="E478">
        <v>1.9369999999999999E-3</v>
      </c>
      <c r="F478">
        <v>1.2</v>
      </c>
    </row>
    <row r="479" spans="1:6" x14ac:dyDescent="0.2">
      <c r="A479" s="54" t="s">
        <v>390</v>
      </c>
      <c r="B479">
        <v>1.3760000000000001E-3</v>
      </c>
      <c r="C479">
        <v>0.1</v>
      </c>
      <c r="D479">
        <v>4.1180000000000001E-3</v>
      </c>
      <c r="E479">
        <v>2.8319999999999999E-3</v>
      </c>
      <c r="F479">
        <v>1.1000000000000001</v>
      </c>
    </row>
    <row r="480" spans="1:6" x14ac:dyDescent="0.2">
      <c r="A480" s="54" t="s">
        <v>328</v>
      </c>
      <c r="B480">
        <v>4.5719999999999997E-3</v>
      </c>
      <c r="C480">
        <v>0.5</v>
      </c>
      <c r="D480">
        <v>3.8319999999999999E-3</v>
      </c>
      <c r="E480">
        <v>4.5519999999999996E-3</v>
      </c>
      <c r="F480">
        <v>1</v>
      </c>
    </row>
    <row r="481" spans="1:6" x14ac:dyDescent="0.2">
      <c r="A481" s="54" t="s">
        <v>367</v>
      </c>
      <c r="B481">
        <v>3.65E-3</v>
      </c>
      <c r="C481">
        <v>0.4</v>
      </c>
      <c r="D481">
        <v>3.7880000000000001E-3</v>
      </c>
      <c r="E481">
        <v>3.447E-3</v>
      </c>
      <c r="F481">
        <v>1</v>
      </c>
    </row>
    <row r="482" spans="1:6" x14ac:dyDescent="0.2">
      <c r="A482" s="54" t="s">
        <v>452</v>
      </c>
      <c r="B482">
        <v>7.4990000000000001E-2</v>
      </c>
      <c r="C482">
        <v>7.5</v>
      </c>
      <c r="D482">
        <v>3.6419999999999998E-3</v>
      </c>
      <c r="E482">
        <v>3.9570000000000001E-2</v>
      </c>
      <c r="F482">
        <v>0.9</v>
      </c>
    </row>
    <row r="483" spans="1:6" x14ac:dyDescent="0.2">
      <c r="A483" s="54" t="s">
        <v>462</v>
      </c>
      <c r="B483">
        <v>2.6949999999999999E-3</v>
      </c>
      <c r="C483">
        <v>0.3</v>
      </c>
      <c r="D483">
        <v>3.6150000000000002E-3</v>
      </c>
      <c r="E483">
        <v>3.3029999999999999E-3</v>
      </c>
      <c r="F483">
        <v>0.9</v>
      </c>
    </row>
    <row r="484" spans="1:6" x14ac:dyDescent="0.2">
      <c r="A484" s="54" t="s">
        <v>77</v>
      </c>
      <c r="B484">
        <v>6.613E-3</v>
      </c>
      <c r="C484">
        <v>0.7</v>
      </c>
      <c r="D484">
        <v>3.434E-3</v>
      </c>
      <c r="E484">
        <v>4.2139999999999999E-3</v>
      </c>
      <c r="F484">
        <v>0.9</v>
      </c>
    </row>
    <row r="485" spans="1:6" x14ac:dyDescent="0.2">
      <c r="A485" s="54" t="s">
        <v>449</v>
      </c>
      <c r="B485">
        <v>8.2019999999999992E-3</v>
      </c>
      <c r="C485">
        <v>0.8</v>
      </c>
      <c r="D485">
        <v>3.2529999999999998E-3</v>
      </c>
      <c r="E485">
        <v>9.5320000000000005E-3</v>
      </c>
      <c r="F485">
        <v>0.8</v>
      </c>
    </row>
    <row r="486" spans="1:6" x14ac:dyDescent="0.2">
      <c r="A486" s="54" t="s">
        <v>69</v>
      </c>
      <c r="B486">
        <v>3.2899999999999997E-4</v>
      </c>
      <c r="C486">
        <v>0</v>
      </c>
      <c r="D486">
        <v>3.1610000000000002E-3</v>
      </c>
      <c r="E486">
        <v>1.6069999999999999E-3</v>
      </c>
      <c r="F486">
        <v>0.8</v>
      </c>
    </row>
    <row r="487" spans="1:6" x14ac:dyDescent="0.2">
      <c r="A487" s="54" t="s">
        <v>336</v>
      </c>
      <c r="B487">
        <v>4.8190000000000004E-3</v>
      </c>
      <c r="C487">
        <v>0.5</v>
      </c>
      <c r="D487">
        <v>3.14E-3</v>
      </c>
      <c r="E487">
        <v>4.4840000000000001E-3</v>
      </c>
      <c r="F487">
        <v>0.8</v>
      </c>
    </row>
    <row r="488" spans="1:6" x14ac:dyDescent="0.2">
      <c r="A488" s="54" t="s">
        <v>435</v>
      </c>
      <c r="B488">
        <v>1.5089999999999999E-3</v>
      </c>
      <c r="C488">
        <v>0.2</v>
      </c>
      <c r="D488">
        <v>3.0959999999999998E-3</v>
      </c>
      <c r="E488">
        <v>4.8390000000000004E-3</v>
      </c>
      <c r="F488">
        <v>0.8</v>
      </c>
    </row>
    <row r="489" spans="1:6" x14ac:dyDescent="0.2">
      <c r="A489" s="54" t="s">
        <v>127</v>
      </c>
      <c r="B489">
        <v>2.5439999999999998E-3</v>
      </c>
      <c r="C489">
        <v>0.3</v>
      </c>
      <c r="D489">
        <v>2.8279999999999998E-3</v>
      </c>
      <c r="E489">
        <v>2.7139999999999998E-3</v>
      </c>
      <c r="F489">
        <v>0.7</v>
      </c>
    </row>
    <row r="490" spans="1:6" x14ac:dyDescent="0.2">
      <c r="A490" s="54" t="s">
        <v>370</v>
      </c>
      <c r="B490">
        <v>3.6650000000000002E-4</v>
      </c>
      <c r="C490">
        <v>0</v>
      </c>
      <c r="D490">
        <v>2.81E-3</v>
      </c>
      <c r="E490">
        <v>2.1099999999999999E-3</v>
      </c>
      <c r="F490">
        <v>0.7</v>
      </c>
    </row>
    <row r="491" spans="1:6" x14ac:dyDescent="0.2">
      <c r="A491" s="54" t="s">
        <v>147</v>
      </c>
      <c r="B491">
        <v>4.5249999999999999E-4</v>
      </c>
      <c r="C491">
        <v>0</v>
      </c>
      <c r="D491">
        <v>2.7520000000000001E-3</v>
      </c>
      <c r="E491">
        <v>2.163E-3</v>
      </c>
      <c r="F491">
        <v>0.7</v>
      </c>
    </row>
    <row r="492" spans="1:6" x14ac:dyDescent="0.2">
      <c r="A492" s="54" t="s">
        <v>34</v>
      </c>
      <c r="B492">
        <v>3.333E-3</v>
      </c>
      <c r="C492">
        <v>0.3</v>
      </c>
      <c r="D492">
        <v>2.349E-3</v>
      </c>
      <c r="E492">
        <v>2.6909999999999998E-3</v>
      </c>
      <c r="F492">
        <v>0.6</v>
      </c>
    </row>
    <row r="493" spans="1:6" x14ac:dyDescent="0.2">
      <c r="A493" s="54" t="s">
        <v>359</v>
      </c>
      <c r="B493">
        <v>6.9820000000000004E-3</v>
      </c>
      <c r="C493">
        <v>0.7</v>
      </c>
      <c r="D493">
        <v>2.1940000000000002E-3</v>
      </c>
      <c r="E493">
        <v>4.5319999999999996E-3</v>
      </c>
      <c r="F493">
        <v>0.6</v>
      </c>
    </row>
    <row r="494" spans="1:6" x14ac:dyDescent="0.2">
      <c r="A494" s="54" t="s">
        <v>426</v>
      </c>
      <c r="B494">
        <v>1.457E-3</v>
      </c>
      <c r="C494">
        <v>0.1</v>
      </c>
      <c r="D494">
        <v>2.0869999999999999E-3</v>
      </c>
      <c r="E494">
        <v>1.712E-3</v>
      </c>
      <c r="F494">
        <v>0.5</v>
      </c>
    </row>
    <row r="495" spans="1:6" x14ac:dyDescent="0.2">
      <c r="A495" s="54" t="s">
        <v>429</v>
      </c>
      <c r="B495">
        <v>1.9479999999999999E-4</v>
      </c>
      <c r="C495">
        <v>0</v>
      </c>
      <c r="D495">
        <v>2.0370000000000002E-3</v>
      </c>
      <c r="E495">
        <v>1.2830000000000001E-3</v>
      </c>
      <c r="F495">
        <v>0.5</v>
      </c>
    </row>
    <row r="496" spans="1:6" x14ac:dyDescent="0.2">
      <c r="A496" s="54" t="s">
        <v>65</v>
      </c>
      <c r="B496">
        <v>6.3509999999999999E-4</v>
      </c>
      <c r="C496">
        <v>0.1</v>
      </c>
      <c r="D496">
        <v>1.851E-3</v>
      </c>
      <c r="E496">
        <v>1.719E-3</v>
      </c>
      <c r="F496">
        <v>0.5</v>
      </c>
    </row>
    <row r="497" spans="1:6" x14ac:dyDescent="0.2">
      <c r="A497" s="54" t="s">
        <v>55</v>
      </c>
      <c r="B497">
        <v>4.3319999999999999E-3</v>
      </c>
      <c r="C497">
        <v>0.4</v>
      </c>
      <c r="D497">
        <v>1.792E-3</v>
      </c>
      <c r="E497">
        <v>6.5929999999999999E-3</v>
      </c>
      <c r="F497">
        <v>0.5</v>
      </c>
    </row>
    <row r="498" spans="1:6" x14ac:dyDescent="0.2">
      <c r="A498" s="54" t="s">
        <v>71</v>
      </c>
      <c r="B498">
        <v>7.291E-4</v>
      </c>
      <c r="C498">
        <v>0.1</v>
      </c>
      <c r="D498">
        <v>1.7899999999999999E-3</v>
      </c>
      <c r="E498">
        <v>9.7479999999999995E-4</v>
      </c>
      <c r="F498">
        <v>0.5</v>
      </c>
    </row>
    <row r="499" spans="1:6" x14ac:dyDescent="0.2">
      <c r="A499" s="54" t="s">
        <v>50</v>
      </c>
      <c r="B499">
        <v>2.6380000000000002E-3</v>
      </c>
      <c r="C499">
        <v>0.3</v>
      </c>
      <c r="D499">
        <v>1.593E-3</v>
      </c>
      <c r="E499">
        <v>2.1429999999999999E-3</v>
      </c>
      <c r="F499">
        <v>0.4</v>
      </c>
    </row>
    <row r="500" spans="1:6" x14ac:dyDescent="0.2">
      <c r="A500" s="54" t="s">
        <v>79</v>
      </c>
      <c r="B500">
        <v>9.1E-4</v>
      </c>
      <c r="C500">
        <v>0.1</v>
      </c>
      <c r="D500">
        <v>1.3209999999999999E-3</v>
      </c>
      <c r="E500">
        <v>1.761E-4</v>
      </c>
      <c r="F500">
        <v>0.3</v>
      </c>
    </row>
    <row r="501" spans="1:6" x14ac:dyDescent="0.2">
      <c r="A501" s="54" t="s">
        <v>436</v>
      </c>
      <c r="B501">
        <v>3.3709999999999999E-3</v>
      </c>
      <c r="C501">
        <v>0.3</v>
      </c>
      <c r="D501">
        <v>1.1850000000000001E-3</v>
      </c>
      <c r="E501">
        <v>3.3219999999999999E-3</v>
      </c>
      <c r="F501">
        <v>0.3</v>
      </c>
    </row>
    <row r="502" spans="1:6" x14ac:dyDescent="0.2">
      <c r="A502" s="54" t="s">
        <v>410</v>
      </c>
      <c r="B502">
        <v>5.1780000000000001E-4</v>
      </c>
      <c r="C502">
        <v>0.1</v>
      </c>
      <c r="D502">
        <v>1.049E-3</v>
      </c>
      <c r="E502">
        <v>1.3569999999999999E-3</v>
      </c>
      <c r="F502">
        <v>0.3</v>
      </c>
    </row>
    <row r="503" spans="1:6" x14ac:dyDescent="0.2">
      <c r="A503" s="54" t="s">
        <v>63</v>
      </c>
      <c r="B503">
        <v>1.614E-3</v>
      </c>
      <c r="C503">
        <v>0.2</v>
      </c>
      <c r="D503">
        <v>1.041E-3</v>
      </c>
      <c r="E503">
        <v>3.0400000000000002E-4</v>
      </c>
      <c r="F503">
        <v>0.3</v>
      </c>
    </row>
    <row r="504" spans="1:6" x14ac:dyDescent="0.2">
      <c r="A504" s="54" t="s">
        <v>56</v>
      </c>
      <c r="B504">
        <v>5.9869999999999997E-4</v>
      </c>
      <c r="C504">
        <v>0.1</v>
      </c>
      <c r="D504">
        <v>1.024E-3</v>
      </c>
      <c r="E504">
        <v>2.2020000000000001E-4</v>
      </c>
      <c r="F504">
        <v>0.3</v>
      </c>
    </row>
    <row r="505" spans="1:6" x14ac:dyDescent="0.2">
      <c r="A505" s="54" t="s">
        <v>76</v>
      </c>
      <c r="B505">
        <v>9.1239999999999995E-4</v>
      </c>
      <c r="C505">
        <v>0.1</v>
      </c>
      <c r="D505">
        <v>1.005E-3</v>
      </c>
      <c r="E505">
        <v>1.542E-3</v>
      </c>
      <c r="F505">
        <v>0.3</v>
      </c>
    </row>
    <row r="506" spans="1:6" x14ac:dyDescent="0.2">
      <c r="A506" s="54" t="s">
        <v>308</v>
      </c>
      <c r="B506">
        <v>1.9949999999999998E-3</v>
      </c>
      <c r="C506">
        <v>0.2</v>
      </c>
      <c r="D506">
        <v>9.6389999999999996E-4</v>
      </c>
      <c r="E506">
        <v>2.526E-3</v>
      </c>
      <c r="F506">
        <v>0.3</v>
      </c>
    </row>
    <row r="507" spans="1:6" x14ac:dyDescent="0.2">
      <c r="A507" s="54" t="s">
        <v>467</v>
      </c>
      <c r="B507">
        <v>8.3319999999999998E-4</v>
      </c>
      <c r="C507">
        <v>0.1</v>
      </c>
      <c r="D507">
        <v>9.5520000000000002E-4</v>
      </c>
      <c r="E507">
        <v>1.0349999999999999E-3</v>
      </c>
      <c r="F507">
        <v>0.2</v>
      </c>
    </row>
    <row r="508" spans="1:6" x14ac:dyDescent="0.2">
      <c r="A508" s="54" t="s">
        <v>133</v>
      </c>
      <c r="B508">
        <v>1.0950000000000001E-3</v>
      </c>
      <c r="C508">
        <v>0.1</v>
      </c>
      <c r="D508">
        <v>9.4660000000000002E-4</v>
      </c>
      <c r="E508">
        <v>1.382E-3</v>
      </c>
      <c r="F508">
        <v>0.2</v>
      </c>
    </row>
    <row r="509" spans="1:6" x14ac:dyDescent="0.2">
      <c r="A509" s="54" t="s">
        <v>395</v>
      </c>
      <c r="B509">
        <v>7.3709999999999997E-4</v>
      </c>
      <c r="C509">
        <v>0.1</v>
      </c>
      <c r="D509">
        <v>7.1210000000000002E-4</v>
      </c>
      <c r="E509">
        <v>5.8290000000000002E-4</v>
      </c>
      <c r="F509">
        <v>0.2</v>
      </c>
    </row>
    <row r="510" spans="1:6" x14ac:dyDescent="0.2">
      <c r="A510" s="54" t="s">
        <v>106</v>
      </c>
      <c r="B510">
        <v>1.261E-3</v>
      </c>
      <c r="C510">
        <v>0.1</v>
      </c>
      <c r="D510">
        <v>6.3579999999999995E-4</v>
      </c>
      <c r="E510">
        <v>2.026E-3</v>
      </c>
      <c r="F510">
        <v>0.2</v>
      </c>
    </row>
    <row r="511" spans="1:6" x14ac:dyDescent="0.2">
      <c r="A511" s="54" t="s">
        <v>309</v>
      </c>
      <c r="B511">
        <v>1.3080000000000001E-4</v>
      </c>
      <c r="C511">
        <v>0</v>
      </c>
      <c r="D511">
        <v>6.2449999999999995E-4</v>
      </c>
      <c r="E511">
        <v>2.308E-4</v>
      </c>
      <c r="F511">
        <v>0.2</v>
      </c>
    </row>
    <row r="512" spans="1:6" x14ac:dyDescent="0.2">
      <c r="A512" s="54" t="s">
        <v>407</v>
      </c>
      <c r="B512">
        <v>3.1169999999999999E-4</v>
      </c>
      <c r="C512">
        <v>0</v>
      </c>
      <c r="D512">
        <v>3.9750000000000001E-4</v>
      </c>
      <c r="E512">
        <v>3.6230000000000002E-4</v>
      </c>
      <c r="F512">
        <v>0.1</v>
      </c>
    </row>
    <row r="513" spans="1:6" x14ac:dyDescent="0.2">
      <c r="A513" s="54" t="s">
        <v>320</v>
      </c>
      <c r="B513" s="2">
        <v>6.4220000000000005E-5</v>
      </c>
      <c r="C513">
        <v>0</v>
      </c>
      <c r="D513">
        <v>3.0519999999999999E-4</v>
      </c>
      <c r="E513">
        <v>3.1119999999999997E-4</v>
      </c>
      <c r="F513">
        <v>0.1</v>
      </c>
    </row>
    <row r="514" spans="1:6" x14ac:dyDescent="0.2">
      <c r="A514" s="54" t="s">
        <v>433</v>
      </c>
      <c r="B514">
        <v>2.3709999999999999E-4</v>
      </c>
      <c r="C514">
        <v>0</v>
      </c>
      <c r="D514">
        <v>3.0469999999999998E-4</v>
      </c>
      <c r="E514">
        <v>3.2400000000000001E-4</v>
      </c>
      <c r="F514">
        <v>0.1</v>
      </c>
    </row>
    <row r="515" spans="1:6" x14ac:dyDescent="0.2">
      <c r="A515" s="54" t="s">
        <v>406</v>
      </c>
      <c r="B515">
        <v>4.9240000000000004E-4</v>
      </c>
      <c r="C515">
        <v>0</v>
      </c>
      <c r="D515">
        <v>2.5900000000000001E-4</v>
      </c>
      <c r="E515">
        <v>3.1970000000000002E-4</v>
      </c>
      <c r="F515">
        <v>0.1</v>
      </c>
    </row>
    <row r="516" spans="1:6" x14ac:dyDescent="0.2">
      <c r="A516" s="54" t="s">
        <v>466</v>
      </c>
      <c r="B516">
        <v>3.4459999999999997E-4</v>
      </c>
      <c r="C516">
        <v>0</v>
      </c>
      <c r="D516">
        <v>2.1699999999999999E-4</v>
      </c>
      <c r="E516">
        <v>4.6969999999999998E-4</v>
      </c>
      <c r="F516">
        <v>0.1</v>
      </c>
    </row>
    <row r="517" spans="1:6" x14ac:dyDescent="0.2">
      <c r="A517" s="54" t="s">
        <v>364</v>
      </c>
      <c r="B517">
        <v>3.0650000000000002E-4</v>
      </c>
      <c r="C517">
        <v>0</v>
      </c>
      <c r="D517">
        <v>2.0560000000000001E-4</v>
      </c>
      <c r="E517">
        <v>2.184E-4</v>
      </c>
      <c r="F517">
        <v>0.1</v>
      </c>
    </row>
    <row r="518" spans="1:6" x14ac:dyDescent="0.2">
      <c r="A518" s="54" t="s">
        <v>103</v>
      </c>
      <c r="B518">
        <v>1.949E-3</v>
      </c>
      <c r="C518">
        <v>0.2</v>
      </c>
      <c r="D518">
        <v>1.571E-4</v>
      </c>
      <c r="E518">
        <v>2.3709999999999998E-3</v>
      </c>
      <c r="F518">
        <v>0</v>
      </c>
    </row>
    <row r="519" spans="1:6" x14ac:dyDescent="0.2">
      <c r="A519" s="54" t="s">
        <v>178</v>
      </c>
      <c r="B519" s="2">
        <v>6.2219999999999999E-6</v>
      </c>
      <c r="C519">
        <v>0</v>
      </c>
      <c r="D519" s="2">
        <v>9.5779999999999994E-5</v>
      </c>
      <c r="E519" s="2">
        <v>8.0500000000000005E-5</v>
      </c>
      <c r="F519">
        <v>0</v>
      </c>
    </row>
    <row r="520" spans="1:6" x14ac:dyDescent="0.2">
      <c r="A520" s="54" t="s">
        <v>160</v>
      </c>
      <c r="B520">
        <v>7.3850000000000001E-4</v>
      </c>
      <c r="C520">
        <v>0.1</v>
      </c>
      <c r="D520" s="2">
        <v>5.77E-5</v>
      </c>
      <c r="E520">
        <v>5.9690000000000003E-4</v>
      </c>
      <c r="F520">
        <v>0</v>
      </c>
    </row>
    <row r="521" spans="1:6" x14ac:dyDescent="0.2">
      <c r="A521" s="54" t="s">
        <v>329</v>
      </c>
      <c r="B521" s="2">
        <v>9.4860000000000003E-6</v>
      </c>
      <c r="C521">
        <v>0</v>
      </c>
      <c r="D521" s="2">
        <v>5.5590000000000001E-5</v>
      </c>
      <c r="E521" s="2">
        <v>4.6579999999999998E-5</v>
      </c>
      <c r="F521">
        <v>0</v>
      </c>
    </row>
    <row r="522" spans="1:6" x14ac:dyDescent="0.2">
      <c r="A522" s="54" t="s">
        <v>125</v>
      </c>
      <c r="B522" s="2">
        <v>6.815E-6</v>
      </c>
      <c r="C522">
        <v>0</v>
      </c>
      <c r="D522" s="2">
        <v>4.7429999999999998E-5</v>
      </c>
      <c r="E522">
        <v>0</v>
      </c>
      <c r="F522">
        <v>0</v>
      </c>
    </row>
    <row r="523" spans="1:6" x14ac:dyDescent="0.2">
      <c r="A523" s="54" t="s">
        <v>325</v>
      </c>
      <c r="B523" s="2">
        <v>8.8829999999999995E-8</v>
      </c>
      <c r="C523">
        <v>0</v>
      </c>
      <c r="D523" s="2">
        <v>4.4079999999999998E-5</v>
      </c>
      <c r="E523" s="2">
        <v>3.4489999999999997E-5</v>
      </c>
      <c r="F523">
        <v>0</v>
      </c>
    </row>
    <row r="524" spans="1:6" x14ac:dyDescent="0.2">
      <c r="A524" s="54" t="s">
        <v>446</v>
      </c>
      <c r="B524" s="2">
        <v>3.0910000000000001E-5</v>
      </c>
      <c r="C524">
        <v>0</v>
      </c>
      <c r="D524" s="2">
        <v>4.0939999999999998E-5</v>
      </c>
      <c r="E524">
        <v>1.0900000000000001E-4</v>
      </c>
      <c r="F524">
        <v>0</v>
      </c>
    </row>
    <row r="525" spans="1:6" x14ac:dyDescent="0.2">
      <c r="A525" s="54" t="s">
        <v>80</v>
      </c>
      <c r="B525" s="2">
        <v>2.251E-5</v>
      </c>
      <c r="C525">
        <v>0</v>
      </c>
      <c r="D525" s="2">
        <v>3.7929999999999998E-5</v>
      </c>
      <c r="E525">
        <v>2.2240000000000001E-4</v>
      </c>
      <c r="F525">
        <v>0</v>
      </c>
    </row>
    <row r="526" spans="1:6" x14ac:dyDescent="0.2">
      <c r="A526" s="54" t="s">
        <v>42</v>
      </c>
      <c r="B526" s="2">
        <v>1.1260000000000001E-5</v>
      </c>
      <c r="C526">
        <v>0</v>
      </c>
      <c r="D526" s="2">
        <v>3.557E-5</v>
      </c>
      <c r="E526" s="2">
        <v>7.1130000000000005E-5</v>
      </c>
      <c r="F526">
        <v>0</v>
      </c>
    </row>
    <row r="527" spans="1:6" x14ac:dyDescent="0.2">
      <c r="A527" s="54" t="s">
        <v>375</v>
      </c>
      <c r="B527">
        <v>6.8590000000000003E-4</v>
      </c>
      <c r="C527">
        <v>0.1</v>
      </c>
      <c r="D527" s="2">
        <v>3.1520000000000003E-5</v>
      </c>
      <c r="E527">
        <v>9.990000000000001E-4</v>
      </c>
      <c r="F527">
        <v>0</v>
      </c>
    </row>
    <row r="528" spans="1:6" x14ac:dyDescent="0.2">
      <c r="A528" s="54" t="s">
        <v>81</v>
      </c>
      <c r="B528" s="2">
        <v>6.1080000000000002E-8</v>
      </c>
      <c r="C528">
        <v>0</v>
      </c>
      <c r="D528" s="2">
        <v>1.9110000000000002E-5</v>
      </c>
      <c r="E528">
        <v>0</v>
      </c>
      <c r="F528">
        <v>0</v>
      </c>
    </row>
    <row r="529" spans="1:6" x14ac:dyDescent="0.2">
      <c r="A529" s="54" t="s">
        <v>90</v>
      </c>
      <c r="B529">
        <v>2.7699999999999999E-3</v>
      </c>
      <c r="C529">
        <v>0.3</v>
      </c>
      <c r="D529" s="2">
        <v>1.6629999999999998E-5</v>
      </c>
      <c r="E529">
        <v>2.6289999999999998E-3</v>
      </c>
      <c r="F529">
        <v>0</v>
      </c>
    </row>
    <row r="530" spans="1:6" x14ac:dyDescent="0.2">
      <c r="A530" s="54" t="s">
        <v>89</v>
      </c>
      <c r="B530" s="2">
        <v>2.5109999999999998E-5</v>
      </c>
      <c r="C530">
        <v>0</v>
      </c>
      <c r="D530" s="2">
        <v>1.293E-5</v>
      </c>
      <c r="E530" s="2">
        <v>3.8600000000000003E-5</v>
      </c>
      <c r="F530">
        <v>0</v>
      </c>
    </row>
    <row r="531" spans="1:6" x14ac:dyDescent="0.2">
      <c r="A531" s="54" t="s">
        <v>149</v>
      </c>
      <c r="B531" s="2">
        <v>3.6910000000000002E-9</v>
      </c>
      <c r="C531">
        <v>0</v>
      </c>
      <c r="D531" s="2">
        <v>9.5219999999999996E-6</v>
      </c>
      <c r="E531" s="2">
        <v>6.4019999999999999E-6</v>
      </c>
      <c r="F531">
        <v>0</v>
      </c>
    </row>
    <row r="532" spans="1:6" x14ac:dyDescent="0.2">
      <c r="A532" s="54" t="s">
        <v>428</v>
      </c>
      <c r="B532" s="2">
        <v>2.9189999999999999E-6</v>
      </c>
      <c r="C532">
        <v>0</v>
      </c>
      <c r="D532" s="2">
        <v>7.1470000000000004E-6</v>
      </c>
      <c r="E532" s="2">
        <v>7.9140000000000008E-6</v>
      </c>
      <c r="F532">
        <v>0</v>
      </c>
    </row>
    <row r="533" spans="1:6" x14ac:dyDescent="0.2">
      <c r="A533" s="54" t="s">
        <v>347</v>
      </c>
      <c r="B533">
        <v>2.0230000000000001E-4</v>
      </c>
      <c r="C533">
        <v>0</v>
      </c>
      <c r="D533" s="2">
        <v>5.6269999999999997E-6</v>
      </c>
      <c r="E533">
        <v>4.8690000000000002E-4</v>
      </c>
      <c r="F533">
        <v>0</v>
      </c>
    </row>
    <row r="534" spans="1:6" x14ac:dyDescent="0.2">
      <c r="A534" s="54" t="s">
        <v>74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">
      <c r="A535" s="54" t="s">
        <v>153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">
      <c r="A536" s="54" t="s">
        <v>465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">
      <c r="A537" s="54" t="s">
        <v>88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">
      <c r="A538" s="54" t="s">
        <v>142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">
      <c r="A539" s="54" t="s">
        <v>94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">
      <c r="A540" s="54" t="s">
        <v>131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">
      <c r="A541" s="54" t="s">
        <v>186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">
      <c r="A542" s="54" t="s">
        <v>205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">
      <c r="A543" s="54" t="s">
        <v>166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">
      <c r="A544" s="54" t="s">
        <v>337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">
      <c r="A545" s="54" t="s">
        <v>114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">
      <c r="A546" s="54" t="s">
        <v>92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">
      <c r="A547" s="54" t="s">
        <v>163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">
      <c r="A548" s="54" t="s">
        <v>451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">
      <c r="A549" s="54" t="s">
        <v>327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">
      <c r="A550" s="54" t="s">
        <v>384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">
      <c r="A551" s="54" t="s">
        <v>414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">
      <c r="A552" s="54" t="s">
        <v>400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">
      <c r="A553" s="54" t="s">
        <v>121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">
      <c r="A554" s="54" t="s">
        <v>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">
      <c r="A555" s="54" t="s">
        <v>439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">
      <c r="A556" s="54" t="s">
        <v>342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">
      <c r="A557" s="54" t="s">
        <v>83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">
      <c r="A558" s="54" t="s">
        <v>358</v>
      </c>
      <c r="B558" s="2">
        <v>3.6560000000000002E-5</v>
      </c>
      <c r="C558">
        <v>0</v>
      </c>
      <c r="D558">
        <v>0</v>
      </c>
      <c r="E558">
        <v>0</v>
      </c>
      <c r="F558">
        <v>0</v>
      </c>
    </row>
    <row r="559" spans="1:6" x14ac:dyDescent="0.2">
      <c r="A559" s="54" t="s">
        <v>67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">
      <c r="A560" s="54" t="s">
        <v>349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">
      <c r="A561" s="54" t="s">
        <v>448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">
      <c r="A562" s="54" t="s">
        <v>399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">
      <c r="A563" s="54" t="s">
        <v>111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">
      <c r="A564" s="54" t="s">
        <v>157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">
      <c r="A565" s="54" t="s">
        <v>164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">
      <c r="A566" s="54" t="s">
        <v>123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">
      <c r="A567" s="54" t="s">
        <v>438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">
      <c r="A568" s="54" t="s">
        <v>102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">
      <c r="A569" s="54" t="s">
        <v>97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">
      <c r="A570" s="54" t="s">
        <v>307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">
      <c r="A571" s="54" t="s">
        <v>148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">
      <c r="A572" s="54" t="s">
        <v>116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">
      <c r="A573" s="54" t="s">
        <v>353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">
      <c r="A574" s="54" t="s">
        <v>326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">
      <c r="A575" s="54" t="s">
        <v>154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">
      <c r="A576" s="54" t="s">
        <v>206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">
      <c r="A577" s="54" t="s">
        <v>339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">
      <c r="A578" s="54" t="s">
        <v>207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">
      <c r="A579" s="54" t="s">
        <v>208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">
      <c r="A580" s="54" t="s">
        <v>209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">
      <c r="A581" s="54" t="s">
        <v>210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">
      <c r="A582" s="54" t="s">
        <v>200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">
      <c r="A583" s="54" t="s">
        <v>193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">
      <c r="A584" s="54" t="s">
        <v>363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">
      <c r="A585" s="54" t="s">
        <v>132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">
      <c r="A586" s="54" t="s">
        <v>211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">
      <c r="A587" s="54" t="s">
        <v>145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">
      <c r="A588" s="54" t="s">
        <v>188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">
      <c r="A589" s="54" t="s">
        <v>212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">
      <c r="A590" s="54" t="s">
        <v>455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">
      <c r="A591" s="54" t="s">
        <v>155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">
      <c r="A592" s="54" t="s">
        <v>183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">
      <c r="A593" s="54" t="s">
        <v>184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">
      <c r="A594" s="54" t="s">
        <v>213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">
      <c r="A595" s="54" t="s">
        <v>317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">
      <c r="A596" s="54" t="s">
        <v>461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">
      <c r="A597" s="54" t="s">
        <v>409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">
      <c r="A598" s="54" t="s">
        <v>85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">
      <c r="A599" s="54" t="s">
        <v>391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">
      <c r="A600" s="54" t="s">
        <v>385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">
      <c r="A601" s="54" t="s">
        <v>332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">
      <c r="A602" s="54" t="s">
        <v>120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">
      <c r="A603" s="54" t="s">
        <v>355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">
      <c r="A604" s="54" t="s">
        <v>368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">
      <c r="A605" s="54" t="s">
        <v>398</v>
      </c>
      <c r="B605">
        <v>5.3410000000000003E-4</v>
      </c>
      <c r="C605">
        <v>0.1</v>
      </c>
      <c r="D605">
        <v>0</v>
      </c>
      <c r="E605">
        <v>0</v>
      </c>
      <c r="F605">
        <v>0</v>
      </c>
    </row>
    <row r="606" spans="1:6" x14ac:dyDescent="0.2">
      <c r="A606" s="54" t="s">
        <v>411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">
      <c r="A607" s="54" t="s">
        <v>144</v>
      </c>
      <c r="B607" s="2">
        <v>5.2530000000000004E-6</v>
      </c>
      <c r="C607">
        <v>0</v>
      </c>
      <c r="D607">
        <v>0</v>
      </c>
      <c r="E607">
        <v>0</v>
      </c>
      <c r="F607">
        <v>0</v>
      </c>
    </row>
    <row r="608" spans="1:6" x14ac:dyDescent="0.2">
      <c r="A608" s="54" t="s">
        <v>118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">
      <c r="A609" s="54" t="s">
        <v>93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">
      <c r="A610" s="54" t="s">
        <v>52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">
      <c r="A611" s="54" t="s">
        <v>405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">
      <c r="A612" s="54" t="s">
        <v>345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">
      <c r="A613" s="54" t="s">
        <v>356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">
      <c r="A614" s="54" t="s">
        <v>394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">
      <c r="A615" s="54" t="s">
        <v>346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">
      <c r="A616" s="54" t="s">
        <v>383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">
      <c r="A617" s="54" t="s">
        <v>196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">
      <c r="A618" s="54" t="s">
        <v>214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">
      <c r="A619" s="54" t="s">
        <v>135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">
      <c r="A620" s="54" t="s">
        <v>215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">
      <c r="A621" s="54" t="s">
        <v>216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">
      <c r="A622" s="54" t="s">
        <v>412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">
      <c r="A623" s="54" t="s">
        <v>217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">
      <c r="A624" s="54" t="s">
        <v>357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">
      <c r="A625" s="54" t="s">
        <v>388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">
      <c r="A626" s="54" t="s">
        <v>60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">
      <c r="A627" s="54" t="s">
        <v>172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">
      <c r="A628" s="54" t="s">
        <v>316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">
      <c r="A629" s="54" t="s">
        <v>59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">
      <c r="A630" s="54" t="s">
        <v>374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">
      <c r="A631" s="54" t="s">
        <v>397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">
      <c r="A632" s="54" t="s">
        <v>199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">
      <c r="A633" s="54" t="s">
        <v>159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">
      <c r="A634" s="54" t="s">
        <v>194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">
      <c r="A635" s="54" t="s">
        <v>422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">
      <c r="A636" s="54" t="s">
        <v>218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">
      <c r="A637" s="54" t="s">
        <v>352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">
      <c r="A638" s="54" t="s">
        <v>219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">
      <c r="A639" s="54" t="s">
        <v>379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">
      <c r="A640" s="54" t="s">
        <v>91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">
      <c r="A641" s="54" t="s">
        <v>220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">
      <c r="A642" s="54" t="s">
        <v>221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">
      <c r="A643" s="54" t="s">
        <v>305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">
      <c r="A644" s="54" t="s">
        <v>189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">
      <c r="A645" s="54" t="s">
        <v>314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">
      <c r="A646" s="54" t="s">
        <v>143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">
      <c r="A647" s="54" t="s">
        <v>222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">
      <c r="A648" s="54" t="s">
        <v>360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">
      <c r="A649" s="54" t="s">
        <v>126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">
      <c r="A650" s="54" t="s">
        <v>380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">
      <c r="A651" s="54" t="s">
        <v>223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">
      <c r="A652" s="54" t="s">
        <v>224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">
      <c r="A653" s="54" t="s">
        <v>225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">
      <c r="A654" s="54" t="s">
        <v>181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">
      <c r="A655" s="54" t="s">
        <v>341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">
      <c r="A656" s="54" t="s">
        <v>387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">
      <c r="A657" s="54" t="s">
        <v>315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">
      <c r="A658" s="54" t="s">
        <v>311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">
      <c r="A659" s="54" t="s">
        <v>350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">
      <c r="A660" s="54" t="s">
        <v>376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">
      <c r="A661" s="54" t="s">
        <v>413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">
      <c r="A662" s="54" t="s">
        <v>226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">
      <c r="A663" s="54" t="s">
        <v>334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">
      <c r="A664" s="54" t="s">
        <v>323</v>
      </c>
      <c r="B664">
        <v>2.7910000000000001E-4</v>
      </c>
      <c r="C664">
        <v>0</v>
      </c>
      <c r="D664">
        <v>0</v>
      </c>
      <c r="E664">
        <v>0</v>
      </c>
      <c r="F664">
        <v>0</v>
      </c>
    </row>
    <row r="665" spans="1:6" x14ac:dyDescent="0.2">
      <c r="A665" s="54" t="s">
        <v>306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">
      <c r="A666" s="54" t="s">
        <v>227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">
      <c r="A667" s="54" t="s">
        <v>228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">
      <c r="A668" s="54" t="s">
        <v>229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">
      <c r="A669" s="54" t="s">
        <v>230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">
      <c r="A670" s="54" t="s">
        <v>304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">
      <c r="A671" s="54" t="s">
        <v>231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">
      <c r="A672" s="54" t="s">
        <v>169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">
      <c r="A673" s="54" t="s">
        <v>232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">
      <c r="A674" s="54" t="s">
        <v>233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">
      <c r="A675" s="54" t="s">
        <v>234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">
      <c r="A676" s="54" t="s">
        <v>197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">
      <c r="A677" s="54" t="s">
        <v>235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">
      <c r="A678" s="54" t="s">
        <v>236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">
      <c r="A679" s="54" t="s">
        <v>237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">
      <c r="A680" s="54" t="s">
        <v>238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">
      <c r="A681" s="54" t="s">
        <v>239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">
      <c r="A682" s="54" t="s">
        <v>240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">
      <c r="A683" s="54" t="s">
        <v>241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">
      <c r="A684" s="54" t="s">
        <v>377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">
      <c r="A685" s="54" t="s">
        <v>101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">
      <c r="A686" s="54" t="s">
        <v>365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">
      <c r="A687" s="54" t="s">
        <v>419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">
      <c r="A688" s="54" t="s">
        <v>242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">
      <c r="A689" s="54" t="s">
        <v>393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">
      <c r="A690" s="54" t="s">
        <v>243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">
      <c r="A691" s="54" t="s">
        <v>138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">
      <c r="A692" s="54" t="s">
        <v>244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">
      <c r="A693" s="54" t="s">
        <v>245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">
      <c r="A694" s="54" t="s">
        <v>246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">
      <c r="A695" s="54" t="s">
        <v>204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">
      <c r="A696" s="54" t="s">
        <v>310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">
      <c r="A697" s="54" t="s">
        <v>247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">
      <c r="A698" s="54" t="s">
        <v>248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">
      <c r="A699" s="54" t="s">
        <v>249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">
      <c r="A700" s="54" t="s">
        <v>95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">
      <c r="A701" s="54" t="s">
        <v>250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">
      <c r="A702" s="54" t="s">
        <v>251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">
      <c r="A703" s="54" t="s">
        <v>252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">
      <c r="A704" s="54" t="s">
        <v>432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">
      <c r="A705" s="54" t="s">
        <v>187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">
      <c r="A706" s="54" t="s">
        <v>253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">
      <c r="A707" s="54" t="s">
        <v>254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">
      <c r="A708" s="54" t="s">
        <v>313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">
      <c r="A709" s="54" t="s">
        <v>255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">
      <c r="A710" s="54" t="s">
        <v>256</v>
      </c>
      <c r="B710">
        <v>1.2049999999999999E-3</v>
      </c>
      <c r="C710">
        <v>0.1</v>
      </c>
      <c r="D710">
        <v>0</v>
      </c>
      <c r="E710">
        <v>0</v>
      </c>
      <c r="F710">
        <v>0</v>
      </c>
    </row>
    <row r="711" spans="1:6" x14ac:dyDescent="0.2">
      <c r="A711" s="54" t="s">
        <v>257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">
      <c r="A712" s="54" t="s">
        <v>258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">
      <c r="A713" s="54" t="s">
        <v>177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">
      <c r="A714" s="54" t="s">
        <v>259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">
      <c r="A715" s="54" t="s">
        <v>260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">
      <c r="A716" s="54" t="s">
        <v>261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">
      <c r="A717" s="54" t="s">
        <v>190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">
      <c r="A718" s="54" t="s">
        <v>185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">
      <c r="A719" s="54" t="s">
        <v>262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">
      <c r="A720" s="54" t="s">
        <v>198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">
      <c r="A721" s="54" t="s">
        <v>322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">
      <c r="A722" s="54" t="s">
        <v>122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">
      <c r="A723" s="54" t="s">
        <v>263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">
      <c r="A724" s="54" t="s">
        <v>434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">
      <c r="A725" s="54" t="s">
        <v>264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">
      <c r="A726" s="54" t="s">
        <v>110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">
      <c r="A727" s="54" t="s">
        <v>265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">
      <c r="A728" s="54" t="s">
        <v>362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">
      <c r="A729" s="54" t="s">
        <v>382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">
      <c r="A730" s="54" t="s">
        <v>266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">
      <c r="A731" s="54" t="s">
        <v>340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">
      <c r="A732" s="54" t="s">
        <v>179</v>
      </c>
      <c r="B732">
        <v>2.6590000000000001E-4</v>
      </c>
      <c r="C732">
        <v>0</v>
      </c>
      <c r="D732">
        <v>0</v>
      </c>
      <c r="E732">
        <v>0</v>
      </c>
      <c r="F732">
        <v>0</v>
      </c>
    </row>
    <row r="733" spans="1:6" x14ac:dyDescent="0.2">
      <c r="A733" s="54" t="s">
        <v>416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">
      <c r="A734" s="54" t="s">
        <v>442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">
      <c r="A735" s="54" t="s">
        <v>386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">
      <c r="A736" s="54" t="s">
        <v>137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">
      <c r="A737" s="54" t="s">
        <v>267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">
      <c r="A738" s="54" t="s">
        <v>268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">
      <c r="A739" s="54" t="s">
        <v>312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">
      <c r="A740" s="54" t="s">
        <v>269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">
      <c r="A741" s="54" t="s">
        <v>371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">
      <c r="A742" s="54" t="s">
        <v>321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">
      <c r="A743" s="54" t="s">
        <v>270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">
      <c r="A744" s="54" t="s">
        <v>403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">
      <c r="A745" s="54" t="s">
        <v>195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">
      <c r="A746" s="54" t="s">
        <v>271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">
      <c r="A747" s="54" t="s">
        <v>389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">
      <c r="A748" s="54" t="s">
        <v>99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">
      <c r="A749" s="54" t="s">
        <v>441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">
      <c r="A750" s="54" t="s">
        <v>96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">
      <c r="A751" s="54" t="s">
        <v>324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">
      <c r="A752" s="54" t="s">
        <v>417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">
      <c r="A753" s="54" t="s">
        <v>162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">
      <c r="A754" s="54" t="s">
        <v>171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">
      <c r="A755" s="54" t="s">
        <v>46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">
      <c r="A756" s="54" t="s">
        <v>272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">
      <c r="A757" s="54" t="s">
        <v>273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">
      <c r="A758" s="54" t="s">
        <v>274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">
      <c r="A759" s="54" t="s">
        <v>275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">
      <c r="A760" s="54" t="s">
        <v>158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">
      <c r="A761" s="54" t="s">
        <v>373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">
      <c r="A762" s="54" t="s">
        <v>276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">
      <c r="A763" s="54" t="s">
        <v>333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">
      <c r="A764" s="54" t="s">
        <v>192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">
      <c r="A765" s="54" t="s">
        <v>277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">
      <c r="A766" s="54" t="s">
        <v>150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">
      <c r="A767" s="54" t="s">
        <v>278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">
      <c r="A768" s="54" t="s">
        <v>279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">
      <c r="A769" s="54" t="s">
        <v>280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">
      <c r="A770" s="54" t="s">
        <v>281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">
      <c r="A771" s="54" t="s">
        <v>68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">
      <c r="A772" s="54" t="s">
        <v>282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">
      <c r="A773" s="54" t="s">
        <v>303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">
      <c r="A774" s="54" t="s">
        <v>283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">
      <c r="A775" s="54" t="s">
        <v>284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">
      <c r="A776" s="54" t="s">
        <v>285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">
      <c r="A777" s="54" t="s">
        <v>366</v>
      </c>
      <c r="B777">
        <v>1.1129999999999999E-2</v>
      </c>
      <c r="C777">
        <v>1.1000000000000001</v>
      </c>
      <c r="D777">
        <v>0</v>
      </c>
      <c r="E777">
        <v>0</v>
      </c>
      <c r="F777">
        <v>0</v>
      </c>
    </row>
    <row r="778" spans="1:6" x14ac:dyDescent="0.2">
      <c r="A778" s="54" t="s">
        <v>425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">
      <c r="A779" s="54" t="s">
        <v>49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">
      <c r="A780" s="54" t="s">
        <v>330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">
      <c r="A781" s="54" t="s">
        <v>361</v>
      </c>
      <c r="B781">
        <v>1.132E-4</v>
      </c>
      <c r="C781">
        <v>0</v>
      </c>
      <c r="D781">
        <v>0</v>
      </c>
      <c r="E781">
        <v>0</v>
      </c>
      <c r="F781">
        <v>0</v>
      </c>
    </row>
    <row r="782" spans="1:6" x14ac:dyDescent="0.2">
      <c r="A782" s="54" t="s">
        <v>124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">
      <c r="A783" s="54" t="s">
        <v>319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">
      <c r="A784" s="54" t="s">
        <v>378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">
      <c r="A785" s="54" t="s">
        <v>129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">
      <c r="A786" s="54" t="s">
        <v>443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">
      <c r="A787" s="54" t="s">
        <v>64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">
      <c r="A788" s="54" t="s">
        <v>286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">
      <c r="A789" s="54" t="s">
        <v>287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">
      <c r="A790" s="54" t="s">
        <v>288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">
      <c r="A791" s="54" t="s">
        <v>289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">
      <c r="A792" s="54" t="s">
        <v>290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">
      <c r="A793" s="54" t="s">
        <v>73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">
      <c r="A794" s="54" t="s">
        <v>291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">
      <c r="A795" s="54" t="s">
        <v>134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">
      <c r="A796" s="54" t="s">
        <v>292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">
      <c r="A797" s="54" t="s">
        <v>293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">
      <c r="A798" s="54" t="s">
        <v>294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">
      <c r="A799" s="54" t="s">
        <v>295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">
      <c r="A800" s="54" t="s">
        <v>168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">
      <c r="A801" s="54" t="s">
        <v>141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">
      <c r="A802" s="54" t="s">
        <v>161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">
      <c r="A803" s="54" t="s">
        <v>201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">
      <c r="A804" s="54" t="s">
        <v>78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">
      <c r="A805" s="54" t="s">
        <v>296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">
      <c r="A806" s="54" t="s">
        <v>176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">
      <c r="A807" s="54" t="s">
        <v>203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">
      <c r="A808" s="54" t="s">
        <v>297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">
      <c r="A809" s="54" t="s">
        <v>298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">
      <c r="A810" s="54" t="s">
        <v>354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">
      <c r="A811" s="54" t="s">
        <v>299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">
      <c r="A812" s="54" t="s">
        <v>139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">
      <c r="A813" s="54" t="s">
        <v>140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">
      <c r="A814" s="54" t="s">
        <v>152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">
      <c r="A815" s="54" t="s">
        <v>173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">
      <c r="A816" s="54" t="s">
        <v>300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">
      <c r="A817" s="54" t="s">
        <v>136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">
      <c r="A818" s="54" t="s">
        <v>351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">
      <c r="A819" s="54" t="s">
        <v>130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">
      <c r="A820" s="54" t="s">
        <v>202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">
      <c r="A821" s="54" t="s">
        <v>100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">
      <c r="A822" s="54" t="s">
        <v>392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">
      <c r="A823" s="54" t="s">
        <v>117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">
      <c r="A824" s="54" t="s">
        <v>301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">
      <c r="A825" s="54" t="s">
        <v>302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">
      <c r="A826" s="54" t="s">
        <v>165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">
      <c r="A827" s="54" t="s">
        <v>98</v>
      </c>
      <c r="B827" s="2">
        <v>3.7679999999999997E-8</v>
      </c>
      <c r="C827">
        <v>0</v>
      </c>
      <c r="D827" s="2">
        <v>-2.999E-6</v>
      </c>
      <c r="E827" s="2">
        <v>5.998E-6</v>
      </c>
      <c r="F827">
        <v>0</v>
      </c>
    </row>
    <row r="828" spans="1:6" x14ac:dyDescent="0.2">
      <c r="A828" s="54" t="s">
        <v>66</v>
      </c>
      <c r="B828">
        <v>3.2229999999999997E-4</v>
      </c>
      <c r="C828">
        <v>0</v>
      </c>
      <c r="D828" s="2">
        <v>-8.2460000000000003E-6</v>
      </c>
      <c r="E828" s="2">
        <v>7.7840000000000004E-6</v>
      </c>
      <c r="F828">
        <v>0</v>
      </c>
    </row>
    <row r="829" spans="1:6" x14ac:dyDescent="0.2">
      <c r="A829" s="54" t="s">
        <v>39</v>
      </c>
      <c r="B829">
        <v>1.7030000000000001E-3</v>
      </c>
      <c r="C829">
        <v>0.2</v>
      </c>
      <c r="D829" s="2">
        <v>-1.9959999999999999E-5</v>
      </c>
      <c r="E829">
        <v>2.4429999999999999E-3</v>
      </c>
      <c r="F829">
        <v>0</v>
      </c>
    </row>
    <row r="830" spans="1:6" x14ac:dyDescent="0.2">
      <c r="A830" s="54" t="s">
        <v>167</v>
      </c>
      <c r="B830" s="2">
        <v>1.95E-5</v>
      </c>
      <c r="C830">
        <v>0</v>
      </c>
      <c r="D830" s="2">
        <v>-2.1469999999999999E-5</v>
      </c>
      <c r="E830" s="2">
        <v>6.4399999999999993E-5</v>
      </c>
      <c r="F830">
        <v>0</v>
      </c>
    </row>
    <row r="831" spans="1:6" x14ac:dyDescent="0.2">
      <c r="A831" s="54" t="s">
        <v>430</v>
      </c>
      <c r="B831">
        <v>3.1679999999999998E-3</v>
      </c>
      <c r="C831">
        <v>0.3</v>
      </c>
      <c r="D831" s="2">
        <v>-2.1690000000000001E-5</v>
      </c>
      <c r="E831">
        <v>3.5430000000000001E-3</v>
      </c>
      <c r="F831">
        <v>0</v>
      </c>
    </row>
    <row r="832" spans="1:6" x14ac:dyDescent="0.2">
      <c r="A832" s="54" t="s">
        <v>109</v>
      </c>
      <c r="B832" s="2">
        <v>9.3469999999999998E-5</v>
      </c>
      <c r="C832">
        <v>0</v>
      </c>
      <c r="D832" s="2">
        <v>-2.196E-5</v>
      </c>
      <c r="E832">
        <v>1.2210000000000001E-4</v>
      </c>
      <c r="F832">
        <v>0</v>
      </c>
    </row>
    <row r="833" spans="1:6" x14ac:dyDescent="0.2">
      <c r="A833" s="54" t="s">
        <v>115</v>
      </c>
      <c r="B833">
        <v>3.546E-4</v>
      </c>
      <c r="C833">
        <v>0</v>
      </c>
      <c r="D833" s="2">
        <v>-4.2880000000000003E-5</v>
      </c>
      <c r="E833">
        <v>2.4469999999999998E-4</v>
      </c>
      <c r="F833">
        <v>0</v>
      </c>
    </row>
    <row r="834" spans="1:6" x14ac:dyDescent="0.2">
      <c r="A834" s="54" t="s">
        <v>175</v>
      </c>
      <c r="B834" s="2">
        <v>8.7940000000000002E-5</v>
      </c>
      <c r="C834">
        <v>0</v>
      </c>
      <c r="D834" s="2">
        <v>-4.4879999999999997E-5</v>
      </c>
      <c r="E834">
        <v>1.3459999999999999E-4</v>
      </c>
      <c r="F834">
        <v>0</v>
      </c>
    </row>
    <row r="835" spans="1:6" x14ac:dyDescent="0.2">
      <c r="A835" s="54" t="s">
        <v>87</v>
      </c>
      <c r="B835" s="2">
        <v>3.8120000000000001E-6</v>
      </c>
      <c r="C835">
        <v>0</v>
      </c>
      <c r="D835" s="2">
        <v>-4.5089999999999997E-5</v>
      </c>
      <c r="E835" s="2">
        <v>6.8880000000000005E-5</v>
      </c>
      <c r="F835">
        <v>0</v>
      </c>
    </row>
    <row r="836" spans="1:6" x14ac:dyDescent="0.2">
      <c r="A836" s="54" t="s">
        <v>335</v>
      </c>
      <c r="B836" s="2">
        <v>3.1900000000000003E-5</v>
      </c>
      <c r="C836">
        <v>0</v>
      </c>
      <c r="D836" s="2">
        <v>-5.469E-5</v>
      </c>
      <c r="E836">
        <v>1.094E-4</v>
      </c>
      <c r="F836">
        <v>0</v>
      </c>
    </row>
    <row r="837" spans="1:6" x14ac:dyDescent="0.2">
      <c r="A837" s="54" t="s">
        <v>423</v>
      </c>
      <c r="B837">
        <v>2.261E-3</v>
      </c>
      <c r="C837">
        <v>0.2</v>
      </c>
      <c r="D837" s="2">
        <v>-7.3549999999999999E-5</v>
      </c>
      <c r="E837">
        <v>1.797E-3</v>
      </c>
      <c r="F837">
        <v>0</v>
      </c>
    </row>
    <row r="838" spans="1:6" x14ac:dyDescent="0.2">
      <c r="A838" s="54" t="s">
        <v>128</v>
      </c>
      <c r="B838" s="2">
        <v>7.6160000000000003E-5</v>
      </c>
      <c r="C838">
        <v>0</v>
      </c>
      <c r="D838" s="2">
        <v>-8.9469999999999995E-5</v>
      </c>
      <c r="E838">
        <v>1.121E-4</v>
      </c>
      <c r="F838">
        <v>0</v>
      </c>
    </row>
    <row r="839" spans="1:6" x14ac:dyDescent="0.2">
      <c r="A839" s="54" t="s">
        <v>180</v>
      </c>
      <c r="B839" s="2">
        <v>2.2310000000000002E-5</v>
      </c>
      <c r="C839">
        <v>0</v>
      </c>
      <c r="D839">
        <v>-1.147E-4</v>
      </c>
      <c r="E839">
        <v>1.147E-4</v>
      </c>
      <c r="F839">
        <v>0</v>
      </c>
    </row>
    <row r="840" spans="1:6" x14ac:dyDescent="0.2">
      <c r="A840" s="54" t="s">
        <v>45</v>
      </c>
      <c r="B840">
        <v>1.371E-3</v>
      </c>
      <c r="C840">
        <v>0.1</v>
      </c>
      <c r="D840">
        <v>-1.35E-4</v>
      </c>
      <c r="E840">
        <v>7.226E-4</v>
      </c>
      <c r="F840">
        <v>0</v>
      </c>
    </row>
    <row r="841" spans="1:6" x14ac:dyDescent="0.2">
      <c r="A841" s="54" t="s">
        <v>37</v>
      </c>
      <c r="B841">
        <v>7.3400000000000002E-3</v>
      </c>
      <c r="C841">
        <v>0.7</v>
      </c>
      <c r="D841">
        <v>-1.574E-4</v>
      </c>
      <c r="E841">
        <v>3.7369999999999999E-3</v>
      </c>
      <c r="F841">
        <v>0</v>
      </c>
    </row>
    <row r="842" spans="1:6" x14ac:dyDescent="0.2">
      <c r="A842" s="54" t="s">
        <v>396</v>
      </c>
      <c r="B842">
        <v>1.176E-3</v>
      </c>
      <c r="C842">
        <v>0.1</v>
      </c>
      <c r="D842">
        <v>-1.662E-4</v>
      </c>
      <c r="E842">
        <v>1.1000000000000001E-3</v>
      </c>
      <c r="F842">
        <v>0</v>
      </c>
    </row>
    <row r="843" spans="1:6" x14ac:dyDescent="0.2">
      <c r="A843" s="54" t="s">
        <v>182</v>
      </c>
      <c r="B843">
        <v>3.8249999999999997E-4</v>
      </c>
      <c r="C843">
        <v>0</v>
      </c>
      <c r="D843">
        <v>-1.819E-4</v>
      </c>
      <c r="E843">
        <v>1.4970000000000001E-3</v>
      </c>
      <c r="F843">
        <v>0</v>
      </c>
    </row>
    <row r="844" spans="1:6" x14ac:dyDescent="0.2">
      <c r="A844" s="54" t="s">
        <v>107</v>
      </c>
      <c r="B844" s="2">
        <v>6.8999999999999997E-5</v>
      </c>
      <c r="C844">
        <v>0</v>
      </c>
      <c r="D844">
        <v>-1.994E-4</v>
      </c>
      <c r="E844">
        <v>1.994E-4</v>
      </c>
      <c r="F844">
        <v>-0.1</v>
      </c>
    </row>
    <row r="845" spans="1:6" x14ac:dyDescent="0.2">
      <c r="A845" s="54" t="s">
        <v>51</v>
      </c>
      <c r="B845">
        <v>1.9040000000000001E-3</v>
      </c>
      <c r="C845">
        <v>0.2</v>
      </c>
      <c r="D845">
        <v>-2.209E-4</v>
      </c>
      <c r="E845">
        <v>2.2070000000000002E-3</v>
      </c>
      <c r="F845">
        <v>-0.1</v>
      </c>
    </row>
    <row r="846" spans="1:6" x14ac:dyDescent="0.2">
      <c r="A846" s="54" t="s">
        <v>151</v>
      </c>
      <c r="B846" s="2">
        <v>1.8170000000000001E-5</v>
      </c>
      <c r="C846">
        <v>0</v>
      </c>
      <c r="D846">
        <v>-2.4439999999999998E-4</v>
      </c>
      <c r="E846">
        <v>2.7549999999999997E-4</v>
      </c>
      <c r="F846">
        <v>-0.1</v>
      </c>
    </row>
    <row r="847" spans="1:6" x14ac:dyDescent="0.2">
      <c r="A847" s="54" t="s">
        <v>174</v>
      </c>
      <c r="B847">
        <v>2.0479999999999999E-4</v>
      </c>
      <c r="C847">
        <v>0</v>
      </c>
      <c r="D847">
        <v>-2.834E-4</v>
      </c>
      <c r="E847">
        <v>4.217E-4</v>
      </c>
      <c r="F847">
        <v>-0.1</v>
      </c>
    </row>
    <row r="848" spans="1:6" x14ac:dyDescent="0.2">
      <c r="A848" s="54" t="s">
        <v>104</v>
      </c>
      <c r="B848" s="2">
        <v>1.7989999999999999E-5</v>
      </c>
      <c r="C848">
        <v>0</v>
      </c>
      <c r="D848">
        <v>-2.9070000000000002E-4</v>
      </c>
      <c r="E848">
        <v>3.1300000000000002E-4</v>
      </c>
      <c r="F848">
        <v>-0.1</v>
      </c>
    </row>
    <row r="849" spans="1:6" x14ac:dyDescent="0.2">
      <c r="A849" s="54" t="s">
        <v>36</v>
      </c>
      <c r="B849" s="2">
        <v>3.6050000000000002E-5</v>
      </c>
      <c r="C849">
        <v>0</v>
      </c>
      <c r="D849">
        <v>-3.054E-4</v>
      </c>
      <c r="E849">
        <v>3.3500000000000001E-4</v>
      </c>
      <c r="F849">
        <v>-0.1</v>
      </c>
    </row>
    <row r="850" spans="1:6" x14ac:dyDescent="0.2">
      <c r="A850" s="54" t="s">
        <v>468</v>
      </c>
      <c r="B850" s="2">
        <v>7.1099999999999994E-5</v>
      </c>
      <c r="C850">
        <v>0</v>
      </c>
      <c r="D850">
        <v>-3.2929999999999998E-4</v>
      </c>
      <c r="E850">
        <v>3.7800000000000003E-4</v>
      </c>
      <c r="F850">
        <v>-0.1</v>
      </c>
    </row>
    <row r="851" spans="1:6" x14ac:dyDescent="0.2">
      <c r="A851" s="54" t="s">
        <v>119</v>
      </c>
      <c r="B851" s="2">
        <v>4.7219999999999999E-5</v>
      </c>
      <c r="C851">
        <v>0</v>
      </c>
      <c r="D851">
        <v>-3.3149999999999998E-4</v>
      </c>
      <c r="E851">
        <v>0</v>
      </c>
      <c r="F851">
        <v>-0.1</v>
      </c>
    </row>
    <row r="852" spans="1:6" x14ac:dyDescent="0.2">
      <c r="A852" s="54" t="s">
        <v>444</v>
      </c>
      <c r="B852">
        <v>6.8050000000000003E-3</v>
      </c>
      <c r="C852">
        <v>0.7</v>
      </c>
      <c r="D852">
        <v>-3.7429999999999999E-4</v>
      </c>
      <c r="E852">
        <v>4.4050000000000001E-3</v>
      </c>
      <c r="F852">
        <v>-0.1</v>
      </c>
    </row>
    <row r="853" spans="1:6" x14ac:dyDescent="0.2">
      <c r="A853" s="54" t="s">
        <v>420</v>
      </c>
      <c r="B853" s="2">
        <v>8.9820000000000004E-5</v>
      </c>
      <c r="C853">
        <v>0</v>
      </c>
      <c r="D853">
        <v>-4.4490000000000003E-4</v>
      </c>
      <c r="E853">
        <v>3.2909999999999998E-4</v>
      </c>
      <c r="F853">
        <v>-0.1</v>
      </c>
    </row>
    <row r="854" spans="1:6" x14ac:dyDescent="0.2">
      <c r="A854" s="54" t="s">
        <v>84</v>
      </c>
      <c r="B854">
        <v>2.5710000000000002E-4</v>
      </c>
      <c r="C854">
        <v>0</v>
      </c>
      <c r="D854">
        <v>-5.331E-4</v>
      </c>
      <c r="E854">
        <v>6.269E-4</v>
      </c>
      <c r="F854">
        <v>-0.1</v>
      </c>
    </row>
    <row r="855" spans="1:6" x14ac:dyDescent="0.2">
      <c r="A855" s="54" t="s">
        <v>47</v>
      </c>
      <c r="B855" s="2">
        <v>3.8170000000000002E-5</v>
      </c>
      <c r="C855">
        <v>0</v>
      </c>
      <c r="D855">
        <v>-5.4489999999999996E-4</v>
      </c>
      <c r="E855">
        <v>5.2130000000000004E-4</v>
      </c>
      <c r="F855">
        <v>-0.1</v>
      </c>
    </row>
    <row r="856" spans="1:6" x14ac:dyDescent="0.2">
      <c r="A856" s="54" t="s">
        <v>344</v>
      </c>
      <c r="B856">
        <v>1.4239999999999999E-4</v>
      </c>
      <c r="C856">
        <v>0</v>
      </c>
      <c r="D856">
        <v>-5.4790000000000004E-4</v>
      </c>
      <c r="E856">
        <v>3.5869999999999999E-4</v>
      </c>
      <c r="F856">
        <v>-0.1</v>
      </c>
    </row>
    <row r="857" spans="1:6" x14ac:dyDescent="0.2">
      <c r="A857" s="54" t="s">
        <v>437</v>
      </c>
      <c r="B857">
        <v>4.5600000000000003E-4</v>
      </c>
      <c r="C857">
        <v>0</v>
      </c>
      <c r="D857">
        <v>-6.1160000000000001E-4</v>
      </c>
      <c r="E857">
        <v>5.3359999999999996E-4</v>
      </c>
      <c r="F857">
        <v>-0.2</v>
      </c>
    </row>
    <row r="858" spans="1:6" x14ac:dyDescent="0.2">
      <c r="A858" s="54" t="s">
        <v>38</v>
      </c>
      <c r="B858">
        <v>1.1379999999999999E-3</v>
      </c>
      <c r="C858">
        <v>0.1</v>
      </c>
      <c r="D858">
        <v>-6.5309999999999999E-4</v>
      </c>
      <c r="E858">
        <v>7.1449999999999997E-4</v>
      </c>
      <c r="F858">
        <v>-0.2</v>
      </c>
    </row>
    <row r="859" spans="1:6" x14ac:dyDescent="0.2">
      <c r="A859" s="54" t="s">
        <v>105</v>
      </c>
      <c r="B859">
        <v>4.3829999999999997E-4</v>
      </c>
      <c r="C859">
        <v>0</v>
      </c>
      <c r="D859">
        <v>-8.698E-4</v>
      </c>
      <c r="E859">
        <v>2.9099999999999998E-3</v>
      </c>
      <c r="F859">
        <v>-0.2</v>
      </c>
    </row>
    <row r="860" spans="1:6" x14ac:dyDescent="0.2">
      <c r="A860" s="54" t="s">
        <v>440</v>
      </c>
      <c r="B860">
        <v>3.0299999999999999E-4</v>
      </c>
      <c r="C860">
        <v>0</v>
      </c>
      <c r="D860">
        <v>-9.898000000000001E-4</v>
      </c>
      <c r="E860">
        <v>1.4419999999999999E-3</v>
      </c>
      <c r="F860">
        <v>-0.3</v>
      </c>
    </row>
    <row r="861" spans="1:6" x14ac:dyDescent="0.2">
      <c r="A861" s="54" t="s">
        <v>418</v>
      </c>
      <c r="B861">
        <v>1.291E-3</v>
      </c>
      <c r="C861">
        <v>0.1</v>
      </c>
      <c r="D861">
        <v>-9.9869999999999994E-4</v>
      </c>
      <c r="E861">
        <v>2.32E-3</v>
      </c>
      <c r="F861">
        <v>-0.3</v>
      </c>
    </row>
    <row r="862" spans="1:6" x14ac:dyDescent="0.2">
      <c r="A862" s="54" t="s">
        <v>75</v>
      </c>
      <c r="B862">
        <v>1.1349999999999999E-3</v>
      </c>
      <c r="C862">
        <v>0.1</v>
      </c>
      <c r="D862">
        <v>-1.0660000000000001E-3</v>
      </c>
      <c r="E862">
        <v>9.5330000000000002E-4</v>
      </c>
      <c r="F862">
        <v>-0.3</v>
      </c>
    </row>
    <row r="863" spans="1:6" x14ac:dyDescent="0.2">
      <c r="A863" s="54" t="s">
        <v>70</v>
      </c>
      <c r="B863">
        <v>2.8089999999999999E-3</v>
      </c>
      <c r="C863">
        <v>0.3</v>
      </c>
      <c r="D863">
        <v>-1.0690000000000001E-3</v>
      </c>
      <c r="E863">
        <v>2.6979999999999999E-3</v>
      </c>
      <c r="F863">
        <v>-0.3</v>
      </c>
    </row>
    <row r="864" spans="1:6" x14ac:dyDescent="0.2">
      <c r="A864" s="54" t="s">
        <v>369</v>
      </c>
      <c r="B864">
        <v>1.689E-3</v>
      </c>
      <c r="C864">
        <v>0.2</v>
      </c>
      <c r="D864">
        <v>-1.214E-3</v>
      </c>
      <c r="E864">
        <v>3.4030000000000002E-3</v>
      </c>
      <c r="F864">
        <v>-0.3</v>
      </c>
    </row>
    <row r="865" spans="1:6" x14ac:dyDescent="0.2">
      <c r="A865" s="54" t="s">
        <v>463</v>
      </c>
      <c r="B865" s="2">
        <v>6.9529999999999993E-5</v>
      </c>
      <c r="C865">
        <v>0</v>
      </c>
      <c r="D865">
        <v>-1.23E-3</v>
      </c>
      <c r="E865">
        <v>6.6719999999999995E-4</v>
      </c>
      <c r="F865">
        <v>-0.3</v>
      </c>
    </row>
    <row r="866" spans="1:6" x14ac:dyDescent="0.2">
      <c r="A866" s="54" t="s">
        <v>82</v>
      </c>
      <c r="B866">
        <v>9.6960000000000004E-4</v>
      </c>
      <c r="C866">
        <v>0.1</v>
      </c>
      <c r="D866">
        <v>-1.4120000000000001E-3</v>
      </c>
      <c r="E866">
        <v>1.611E-3</v>
      </c>
      <c r="F866">
        <v>-0.4</v>
      </c>
    </row>
    <row r="867" spans="1:6" x14ac:dyDescent="0.2">
      <c r="A867" s="54" t="s">
        <v>40</v>
      </c>
      <c r="B867">
        <v>4.8819999999999999E-4</v>
      </c>
      <c r="C867">
        <v>0</v>
      </c>
      <c r="D867">
        <v>-1.5299999999999999E-3</v>
      </c>
      <c r="E867">
        <v>1.4779999999999999E-3</v>
      </c>
      <c r="F867">
        <v>-0.4</v>
      </c>
    </row>
    <row r="868" spans="1:6" x14ac:dyDescent="0.2">
      <c r="A868" s="54" t="s">
        <v>53</v>
      </c>
      <c r="B868">
        <v>2.6179999999999998E-2</v>
      </c>
      <c r="C868">
        <v>2.6</v>
      </c>
      <c r="D868">
        <v>-1.534E-3</v>
      </c>
      <c r="E868">
        <v>1.7420000000000001E-2</v>
      </c>
      <c r="F868">
        <v>-0.4</v>
      </c>
    </row>
    <row r="869" spans="1:6" x14ac:dyDescent="0.2">
      <c r="A869" s="54" t="s">
        <v>424</v>
      </c>
      <c r="B869">
        <v>4.4980000000000003E-3</v>
      </c>
      <c r="C869">
        <v>0.4</v>
      </c>
      <c r="D869">
        <v>-1.6720000000000001E-3</v>
      </c>
      <c r="E869">
        <v>8.6709999999999999E-4</v>
      </c>
      <c r="F869">
        <v>-0.4</v>
      </c>
    </row>
    <row r="870" spans="1:6" x14ac:dyDescent="0.2">
      <c r="A870" s="54" t="s">
        <v>191</v>
      </c>
      <c r="B870">
        <v>3.2460000000000002E-3</v>
      </c>
      <c r="C870">
        <v>0.3</v>
      </c>
      <c r="D870">
        <v>-1.9040000000000001E-3</v>
      </c>
      <c r="E870">
        <v>8.5290000000000001E-3</v>
      </c>
      <c r="F870">
        <v>-0.5</v>
      </c>
    </row>
    <row r="871" spans="1:6" x14ac:dyDescent="0.2">
      <c r="A871" s="54" t="s">
        <v>401</v>
      </c>
      <c r="B871">
        <v>5.2480000000000001E-3</v>
      </c>
      <c r="C871">
        <v>0.5</v>
      </c>
      <c r="D871">
        <v>-2.1900000000000001E-3</v>
      </c>
      <c r="E871">
        <v>6.2570000000000004E-3</v>
      </c>
      <c r="F871">
        <v>-0.6</v>
      </c>
    </row>
    <row r="872" spans="1:6" x14ac:dyDescent="0.2">
      <c r="A872" s="54" t="s">
        <v>86</v>
      </c>
      <c r="B872">
        <v>6.8289999999999996E-4</v>
      </c>
      <c r="C872">
        <v>0.1</v>
      </c>
      <c r="D872">
        <v>-2.3640000000000002E-3</v>
      </c>
      <c r="E872">
        <v>9.6719999999999998E-4</v>
      </c>
      <c r="F872">
        <v>-0.6</v>
      </c>
    </row>
    <row r="873" spans="1:6" x14ac:dyDescent="0.2">
      <c r="A873" s="54" t="s">
        <v>348</v>
      </c>
      <c r="B873">
        <v>9.4649999999999995E-3</v>
      </c>
      <c r="C873">
        <v>0.9</v>
      </c>
      <c r="D873">
        <v>-2.4979999999999998E-3</v>
      </c>
      <c r="E873">
        <v>1.0449999999999999E-2</v>
      </c>
      <c r="F873">
        <v>-0.7</v>
      </c>
    </row>
    <row r="874" spans="1:6" x14ac:dyDescent="0.2">
      <c r="A874" s="54" t="s">
        <v>421</v>
      </c>
      <c r="B874">
        <v>4.4060000000000002E-3</v>
      </c>
      <c r="C874">
        <v>0.4</v>
      </c>
      <c r="D874">
        <v>-2.5079999999999998E-3</v>
      </c>
      <c r="E874">
        <v>3.8890000000000001E-3</v>
      </c>
      <c r="F874">
        <v>-0.7</v>
      </c>
    </row>
    <row r="875" spans="1:6" x14ac:dyDescent="0.2">
      <c r="A875" s="54" t="s">
        <v>72</v>
      </c>
      <c r="B875">
        <v>3.7269999999999998E-3</v>
      </c>
      <c r="C875">
        <v>0.4</v>
      </c>
      <c r="D875">
        <v>-2.529E-3</v>
      </c>
      <c r="E875">
        <v>1.222E-3</v>
      </c>
      <c r="F875">
        <v>-0.7</v>
      </c>
    </row>
    <row r="876" spans="1:6" x14ac:dyDescent="0.2">
      <c r="A876" s="54" t="s">
        <v>62</v>
      </c>
      <c r="B876">
        <v>3.0479999999999998E-4</v>
      </c>
      <c r="C876">
        <v>0</v>
      </c>
      <c r="D876">
        <v>-2.565E-3</v>
      </c>
      <c r="E876">
        <v>2.5669999999999998E-3</v>
      </c>
      <c r="F876">
        <v>-0.7</v>
      </c>
    </row>
    <row r="877" spans="1:6" x14ac:dyDescent="0.2">
      <c r="A877" s="54" t="s">
        <v>402</v>
      </c>
      <c r="B877">
        <v>8.6319999999999995E-4</v>
      </c>
      <c r="C877">
        <v>0.1</v>
      </c>
      <c r="D877">
        <v>-2.7460000000000002E-3</v>
      </c>
      <c r="E877">
        <v>1.183E-3</v>
      </c>
      <c r="F877">
        <v>-0.7</v>
      </c>
    </row>
    <row r="878" spans="1:6" x14ac:dyDescent="0.2">
      <c r="A878" s="54" t="s">
        <v>338</v>
      </c>
      <c r="B878">
        <v>1.926E-3</v>
      </c>
      <c r="C878">
        <v>0.2</v>
      </c>
      <c r="D878">
        <v>-2.9399999999999999E-3</v>
      </c>
      <c r="E878">
        <v>1.294E-3</v>
      </c>
      <c r="F878">
        <v>-0.8</v>
      </c>
    </row>
    <row r="879" spans="1:6" x14ac:dyDescent="0.2">
      <c r="A879" s="54" t="s">
        <v>381</v>
      </c>
      <c r="B879">
        <v>3.9300000000000003E-3</v>
      </c>
      <c r="C879">
        <v>0.4</v>
      </c>
      <c r="D879">
        <v>-3.003E-3</v>
      </c>
      <c r="E879">
        <v>5.9950000000000003E-3</v>
      </c>
      <c r="F879">
        <v>-0.8</v>
      </c>
    </row>
    <row r="880" spans="1:6" x14ac:dyDescent="0.2">
      <c r="A880" s="54" t="s">
        <v>48</v>
      </c>
      <c r="B880">
        <v>1.3420000000000001E-3</v>
      </c>
      <c r="C880">
        <v>0.1</v>
      </c>
      <c r="D880">
        <v>-3.326E-3</v>
      </c>
      <c r="E880">
        <v>2.0899999999999998E-3</v>
      </c>
      <c r="F880">
        <v>-0.9</v>
      </c>
    </row>
    <row r="881" spans="1:6" x14ac:dyDescent="0.2">
      <c r="A881" s="54" t="s">
        <v>447</v>
      </c>
      <c r="B881">
        <v>1.1559999999999999E-3</v>
      </c>
      <c r="C881">
        <v>0.1</v>
      </c>
      <c r="D881">
        <v>-3.4499999999999999E-3</v>
      </c>
      <c r="E881">
        <v>1.818E-3</v>
      </c>
      <c r="F881">
        <v>-0.9</v>
      </c>
    </row>
    <row r="882" spans="1:6" x14ac:dyDescent="0.2">
      <c r="A882" s="54" t="s">
        <v>454</v>
      </c>
      <c r="B882">
        <v>1.491E-2</v>
      </c>
      <c r="C882">
        <v>1.5</v>
      </c>
      <c r="D882">
        <v>-3.6219999999999998E-3</v>
      </c>
      <c r="E882">
        <v>4.1770000000000002E-3</v>
      </c>
      <c r="F882">
        <v>-0.9</v>
      </c>
    </row>
    <row r="883" spans="1:6" x14ac:dyDescent="0.2">
      <c r="A883" s="54" t="s">
        <v>453</v>
      </c>
      <c r="B883">
        <v>5.5640000000000004E-3</v>
      </c>
      <c r="C883">
        <v>0.6</v>
      </c>
      <c r="D883">
        <v>-3.6310000000000001E-3</v>
      </c>
      <c r="E883">
        <v>2.892E-3</v>
      </c>
      <c r="F883">
        <v>-0.9</v>
      </c>
    </row>
    <row r="884" spans="1:6" x14ac:dyDescent="0.2">
      <c r="A884" s="54" t="s">
        <v>35</v>
      </c>
      <c r="B884">
        <v>3.7339999999999999E-3</v>
      </c>
      <c r="C884">
        <v>0.4</v>
      </c>
      <c r="D884">
        <v>-3.725E-3</v>
      </c>
      <c r="E884">
        <v>3.6180000000000001E-3</v>
      </c>
      <c r="F884">
        <v>-1</v>
      </c>
    </row>
    <row r="885" spans="1:6" x14ac:dyDescent="0.2">
      <c r="A885" s="54" t="s">
        <v>170</v>
      </c>
      <c r="B885">
        <v>1.17E-2</v>
      </c>
      <c r="C885">
        <v>1.2</v>
      </c>
      <c r="D885">
        <v>-3.7330000000000002E-3</v>
      </c>
      <c r="E885">
        <v>2.297E-3</v>
      </c>
      <c r="F885">
        <v>-1</v>
      </c>
    </row>
    <row r="886" spans="1:6" x14ac:dyDescent="0.2">
      <c r="A886" s="54" t="s">
        <v>32</v>
      </c>
      <c r="B886">
        <v>3.1040000000000002E-2</v>
      </c>
      <c r="C886">
        <v>3.1</v>
      </c>
      <c r="D886">
        <v>-3.7620000000000002E-3</v>
      </c>
      <c r="E886">
        <v>2.2839999999999999E-2</v>
      </c>
      <c r="F886">
        <v>-1</v>
      </c>
    </row>
    <row r="887" spans="1:6" x14ac:dyDescent="0.2">
      <c r="A887" s="54" t="s">
        <v>464</v>
      </c>
      <c r="B887">
        <v>6.0780000000000003E-4</v>
      </c>
      <c r="C887">
        <v>0.1</v>
      </c>
      <c r="D887">
        <v>-3.8400000000000001E-3</v>
      </c>
      <c r="E887">
        <v>1.415E-3</v>
      </c>
      <c r="F887">
        <v>-1</v>
      </c>
    </row>
    <row r="888" spans="1:6" x14ac:dyDescent="0.2">
      <c r="A888" s="54" t="s">
        <v>469</v>
      </c>
      <c r="B888">
        <v>1.1780000000000001E-2</v>
      </c>
      <c r="C888">
        <v>1.2</v>
      </c>
      <c r="D888">
        <v>-3.8409999999999998E-3</v>
      </c>
      <c r="E888">
        <v>7.5170000000000002E-3</v>
      </c>
      <c r="F888">
        <v>-1</v>
      </c>
    </row>
    <row r="889" spans="1:6" x14ac:dyDescent="0.2">
      <c r="A889" s="54" t="s">
        <v>450</v>
      </c>
      <c r="B889">
        <v>3.065E-3</v>
      </c>
      <c r="C889">
        <v>0.3</v>
      </c>
      <c r="D889">
        <v>-3.8600000000000001E-3</v>
      </c>
      <c r="E889">
        <v>2.1320000000000002E-3</v>
      </c>
      <c r="F889">
        <v>-1</v>
      </c>
    </row>
    <row r="890" spans="1:6" x14ac:dyDescent="0.2">
      <c r="A890" s="54" t="s">
        <v>113</v>
      </c>
      <c r="B890">
        <v>8.3940000000000004E-3</v>
      </c>
      <c r="C890">
        <v>0.8</v>
      </c>
      <c r="D890">
        <v>-4.1289999999999999E-3</v>
      </c>
      <c r="E890">
        <v>8.3759999999999998E-3</v>
      </c>
      <c r="F890">
        <v>-1.1000000000000001</v>
      </c>
    </row>
    <row r="891" spans="1:6" x14ac:dyDescent="0.2">
      <c r="A891" s="54" t="s">
        <v>458</v>
      </c>
      <c r="B891">
        <v>7.8329999999999997E-3</v>
      </c>
      <c r="C891">
        <v>0.8</v>
      </c>
      <c r="D891">
        <v>-5.2680000000000001E-3</v>
      </c>
      <c r="E891">
        <v>3.1029999999999999E-3</v>
      </c>
      <c r="F891">
        <v>-1.4</v>
      </c>
    </row>
    <row r="892" spans="1:6" x14ac:dyDescent="0.2">
      <c r="A892" s="54" t="s">
        <v>431</v>
      </c>
      <c r="B892">
        <v>2.8930000000000002E-3</v>
      </c>
      <c r="C892">
        <v>0.3</v>
      </c>
      <c r="D892">
        <v>-5.287E-3</v>
      </c>
      <c r="E892">
        <v>4.7540000000000004E-3</v>
      </c>
      <c r="F892">
        <v>-1.4</v>
      </c>
    </row>
    <row r="893" spans="1:6" x14ac:dyDescent="0.2">
      <c r="A893" s="54" t="s">
        <v>61</v>
      </c>
      <c r="B893">
        <v>3.1840000000000002E-3</v>
      </c>
      <c r="C893">
        <v>0.3</v>
      </c>
      <c r="D893">
        <v>-5.5079999999999999E-3</v>
      </c>
      <c r="E893">
        <v>3.369E-3</v>
      </c>
      <c r="F893">
        <v>-1.4</v>
      </c>
    </row>
    <row r="894" spans="1:6" x14ac:dyDescent="0.2">
      <c r="A894" s="54" t="s">
        <v>459</v>
      </c>
      <c r="B894">
        <v>1.7470000000000001E-3</v>
      </c>
      <c r="C894">
        <v>0.2</v>
      </c>
      <c r="D894">
        <v>-5.6860000000000001E-3</v>
      </c>
      <c r="E894">
        <v>1.714E-3</v>
      </c>
      <c r="F894">
        <v>-1.5</v>
      </c>
    </row>
    <row r="895" spans="1:6" x14ac:dyDescent="0.2">
      <c r="A895" s="54" t="s">
        <v>156</v>
      </c>
      <c r="B895">
        <v>8.9739999999999993E-3</v>
      </c>
      <c r="C895">
        <v>0.9</v>
      </c>
      <c r="D895">
        <v>-6.5030000000000001E-3</v>
      </c>
      <c r="E895">
        <v>2.8210000000000002E-3</v>
      </c>
      <c r="F895">
        <v>-1.7</v>
      </c>
    </row>
    <row r="896" spans="1:6" x14ac:dyDescent="0.2">
      <c r="A896" s="54" t="s">
        <v>57</v>
      </c>
      <c r="B896">
        <v>2.409E-2</v>
      </c>
      <c r="C896">
        <v>2.4</v>
      </c>
      <c r="D896">
        <v>-7.1729999999999997E-3</v>
      </c>
      <c r="E896">
        <v>1.7840000000000002E-2</v>
      </c>
      <c r="F896">
        <v>-1.9</v>
      </c>
    </row>
    <row r="897" spans="1:6" x14ac:dyDescent="0.2">
      <c r="A897" s="54" t="s">
        <v>404</v>
      </c>
      <c r="B897">
        <v>4.6210000000000001E-4</v>
      </c>
      <c r="C897">
        <v>0</v>
      </c>
      <c r="D897">
        <v>-7.2230000000000003E-3</v>
      </c>
      <c r="E897">
        <v>3.1129999999999999E-3</v>
      </c>
      <c r="F897">
        <v>-1.9</v>
      </c>
    </row>
    <row r="898" spans="1:6" x14ac:dyDescent="0.2">
      <c r="A898" s="54" t="s">
        <v>456</v>
      </c>
      <c r="B898">
        <v>1.9170000000000001E-3</v>
      </c>
      <c r="C898">
        <v>0.2</v>
      </c>
      <c r="D898">
        <v>-7.3480000000000004E-3</v>
      </c>
      <c r="E898">
        <v>1.3389999999999999E-3</v>
      </c>
      <c r="F898">
        <v>-1.9</v>
      </c>
    </row>
    <row r="899" spans="1:6" x14ac:dyDescent="0.2">
      <c r="A899" s="54" t="s">
        <v>445</v>
      </c>
      <c r="B899">
        <v>1.8960000000000001E-2</v>
      </c>
      <c r="C899">
        <v>1.9</v>
      </c>
      <c r="D899">
        <v>-8.7559999999999999E-3</v>
      </c>
      <c r="E899">
        <v>2.3130000000000001E-2</v>
      </c>
      <c r="F899">
        <v>-2.2999999999999998</v>
      </c>
    </row>
    <row r="900" spans="1:6" x14ac:dyDescent="0.2">
      <c r="A900" s="54" t="s">
        <v>471</v>
      </c>
      <c r="B900">
        <v>1.772E-2</v>
      </c>
      <c r="C900">
        <v>1.8</v>
      </c>
      <c r="D900">
        <v>-1.0189999999999999E-2</v>
      </c>
      <c r="E900">
        <v>8.4740000000000006E-3</v>
      </c>
      <c r="F900">
        <v>-2.7</v>
      </c>
    </row>
    <row r="901" spans="1:6" x14ac:dyDescent="0.2">
      <c r="A901" s="54" t="s">
        <v>41</v>
      </c>
      <c r="B901">
        <v>1.2699999999999999E-2</v>
      </c>
      <c r="C901">
        <v>1.3</v>
      </c>
      <c r="D901">
        <v>-1.031E-2</v>
      </c>
      <c r="E901">
        <v>7.3150000000000003E-3</v>
      </c>
      <c r="F901">
        <v>-2.7</v>
      </c>
    </row>
  </sheetData>
  <mergeCells count="2">
    <mergeCell ref="A1:F1"/>
    <mergeCell ref="A453:F45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FAA6-EA5F-1E4A-AB34-F4814E92266A}">
  <dimension ref="A1:J29"/>
  <sheetViews>
    <sheetView tabSelected="1" workbookViewId="0">
      <selection activeCell="B9" sqref="B9"/>
    </sheetView>
  </sheetViews>
  <sheetFormatPr baseColWidth="10" defaultRowHeight="16" x14ac:dyDescent="0.2"/>
  <cols>
    <col min="1" max="1" width="18.33203125" customWidth="1"/>
    <col min="10" max="10" width="20" bestFit="1" customWidth="1"/>
  </cols>
  <sheetData>
    <row r="1" spans="1:10" x14ac:dyDescent="0.2">
      <c r="A1" s="45" t="s">
        <v>487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x14ac:dyDescent="0.2">
      <c r="A2" s="29" t="s">
        <v>488</v>
      </c>
      <c r="B2" s="30" t="s">
        <v>1</v>
      </c>
      <c r="C2" s="30" t="s">
        <v>2</v>
      </c>
      <c r="D2" s="30" t="s">
        <v>13</v>
      </c>
      <c r="E2" s="31" t="s">
        <v>14</v>
      </c>
      <c r="F2" s="30" t="s">
        <v>15</v>
      </c>
      <c r="G2" s="30" t="s">
        <v>17</v>
      </c>
      <c r="H2" s="30" t="s">
        <v>6</v>
      </c>
      <c r="I2" s="32" t="s">
        <v>3</v>
      </c>
      <c r="J2" s="33" t="s">
        <v>481</v>
      </c>
    </row>
    <row r="3" spans="1:10" x14ac:dyDescent="0.2">
      <c r="A3" s="58" t="s">
        <v>474</v>
      </c>
      <c r="B3" s="38">
        <v>0.32342534209548146</v>
      </c>
      <c r="C3" s="38">
        <v>5.6855737430526895E-2</v>
      </c>
      <c r="D3" s="38">
        <v>7.8730632237418359</v>
      </c>
      <c r="E3" s="38">
        <v>10.614852568632442</v>
      </c>
      <c r="F3" s="38">
        <v>9.1030891317312737</v>
      </c>
      <c r="G3" s="38">
        <v>0.88712502228473811</v>
      </c>
      <c r="H3" s="38">
        <v>11.395608855272608</v>
      </c>
      <c r="I3" s="38">
        <v>0.47112822148030392</v>
      </c>
      <c r="J3" s="46">
        <v>14</v>
      </c>
    </row>
    <row r="4" spans="1:10" x14ac:dyDescent="0.2">
      <c r="A4" s="57"/>
      <c r="B4" s="39">
        <v>0.14404120728273057</v>
      </c>
      <c r="C4" s="39">
        <v>1.7212237098731157E-2</v>
      </c>
      <c r="D4" s="39">
        <v>0.8885863244360519</v>
      </c>
      <c r="E4" s="39">
        <v>0.89127195422937533</v>
      </c>
      <c r="F4" s="39">
        <v>0.89092555802592055</v>
      </c>
      <c r="G4" s="39">
        <v>0.36829563945745797</v>
      </c>
      <c r="H4" s="39">
        <v>1.1482179483873434</v>
      </c>
      <c r="I4" s="39">
        <v>9.941024902217524E-2</v>
      </c>
      <c r="J4" s="47"/>
    </row>
    <row r="5" spans="1:10" x14ac:dyDescent="0.2">
      <c r="A5" s="58" t="s">
        <v>476</v>
      </c>
      <c r="B5" s="38">
        <v>0.87687109473114444</v>
      </c>
      <c r="C5" s="38">
        <v>0.7787874322846815</v>
      </c>
      <c r="D5" s="38">
        <v>5.0585236677602579</v>
      </c>
      <c r="E5" s="38">
        <v>6.9654735305486231</v>
      </c>
      <c r="F5" s="38">
        <v>6.5414834777894315</v>
      </c>
      <c r="G5" s="38">
        <v>2.1988355733884766</v>
      </c>
      <c r="H5" s="38">
        <v>7.3650184883065819</v>
      </c>
      <c r="I5" s="38">
        <v>0.89404656819239636</v>
      </c>
      <c r="J5" s="48">
        <v>6</v>
      </c>
    </row>
    <row r="6" spans="1:10" x14ac:dyDescent="0.2">
      <c r="A6" s="57"/>
      <c r="B6" s="39">
        <v>1.4638098365781836E-2</v>
      </c>
      <c r="C6" s="39">
        <v>2.5338855609406755E-2</v>
      </c>
      <c r="D6" s="39">
        <v>0.35428311390724443</v>
      </c>
      <c r="E6" s="39">
        <v>0.52241198706813385</v>
      </c>
      <c r="F6" s="39">
        <v>0.43014114747280302</v>
      </c>
      <c r="G6" s="39">
        <v>1.064143454847668</v>
      </c>
      <c r="H6" s="39">
        <v>0.55559764607569129</v>
      </c>
      <c r="I6" s="39">
        <v>1.5386260728516624E-2</v>
      </c>
      <c r="J6" s="49"/>
    </row>
    <row r="7" spans="1:10" x14ac:dyDescent="0.2">
      <c r="A7" s="58" t="s">
        <v>472</v>
      </c>
      <c r="B7" s="38">
        <v>0.69514373292567877</v>
      </c>
      <c r="C7" s="38">
        <v>0.38250334085062143</v>
      </c>
      <c r="D7" s="38">
        <v>7.302718171745866</v>
      </c>
      <c r="E7" s="38">
        <v>9.6430546352548454</v>
      </c>
      <c r="F7" s="38">
        <v>8.9129435747482493</v>
      </c>
      <c r="G7" s="38">
        <v>1.7039174997763602</v>
      </c>
      <c r="H7" s="38">
        <v>10.529204115172281</v>
      </c>
      <c r="I7" s="38">
        <v>0.76589521509199077</v>
      </c>
      <c r="J7" s="50">
        <v>17</v>
      </c>
    </row>
    <row r="8" spans="1:10" x14ac:dyDescent="0.2">
      <c r="A8" s="57"/>
      <c r="B8" s="39">
        <v>9.3790911962814721E-2</v>
      </c>
      <c r="C8" s="39">
        <v>3.5653546943345049E-2</v>
      </c>
      <c r="D8" s="39">
        <v>0.71346996680527019</v>
      </c>
      <c r="E8" s="39">
        <v>0.8655188181170812</v>
      </c>
      <c r="F8" s="39">
        <v>0.79761236159733695</v>
      </c>
      <c r="G8" s="39">
        <v>0.68265269133426054</v>
      </c>
      <c r="H8" s="39">
        <v>1.0227925135601712</v>
      </c>
      <c r="I8" s="39">
        <v>7.5635127391157311E-2</v>
      </c>
      <c r="J8" s="49"/>
    </row>
    <row r="9" spans="1:10" x14ac:dyDescent="0.2">
      <c r="A9" s="56" t="s">
        <v>473</v>
      </c>
      <c r="B9" s="40">
        <v>0.39523448508234671</v>
      </c>
      <c r="C9" s="40">
        <v>9.1713960064617628E-2</v>
      </c>
      <c r="D9" s="40">
        <v>8.1033933609142519</v>
      </c>
      <c r="E9" s="40">
        <v>10.720621134659625</v>
      </c>
      <c r="F9" s="40">
        <v>9.5630655166421565</v>
      </c>
      <c r="G9" s="40">
        <v>0.99132613142036008</v>
      </c>
      <c r="H9" s="40">
        <v>11.73401408522075</v>
      </c>
      <c r="I9" s="40">
        <v>0.53828081993788746</v>
      </c>
      <c r="J9" s="50">
        <v>5</v>
      </c>
    </row>
    <row r="10" spans="1:10" x14ac:dyDescent="0.2">
      <c r="A10" s="57"/>
      <c r="B10" s="39">
        <v>6.248228939181856E-2</v>
      </c>
      <c r="C10" s="39">
        <v>2.0797355987351798E-2</v>
      </c>
      <c r="D10" s="39">
        <v>0.42553016365709545</v>
      </c>
      <c r="E10" s="39">
        <v>0.45816162895271717</v>
      </c>
      <c r="F10" s="39">
        <v>0.46546849526290662</v>
      </c>
      <c r="G10" s="39">
        <v>0.35568685011748502</v>
      </c>
      <c r="H10" s="39">
        <v>0.52566144397922854</v>
      </c>
      <c r="I10" s="39">
        <v>6.3893804356999526E-2</v>
      </c>
      <c r="J10" s="49"/>
    </row>
    <row r="11" spans="1:10" x14ac:dyDescent="0.2">
      <c r="A11" s="58" t="s">
        <v>475</v>
      </c>
      <c r="B11" s="38">
        <v>0.69621125867810219</v>
      </c>
      <c r="C11" s="38">
        <v>0.40135408529906808</v>
      </c>
      <c r="D11" s="38">
        <v>7.1545301118858813</v>
      </c>
      <c r="E11" s="38">
        <v>9.2955339964974684</v>
      </c>
      <c r="F11" s="38">
        <v>8.6427391496840951</v>
      </c>
      <c r="G11" s="38">
        <v>1.6620044787699508</v>
      </c>
      <c r="H11" s="38">
        <v>10.047964011091624</v>
      </c>
      <c r="I11" s="38">
        <v>0.76390632301732919</v>
      </c>
      <c r="J11" s="50">
        <v>18</v>
      </c>
    </row>
    <row r="12" spans="1:10" x14ac:dyDescent="0.2">
      <c r="A12" s="57"/>
      <c r="B12" s="39">
        <v>6.6298455349789787E-2</v>
      </c>
      <c r="C12" s="39">
        <v>3.8768351470717388E-2</v>
      </c>
      <c r="D12" s="39">
        <v>0.62524517852490358</v>
      </c>
      <c r="E12" s="39">
        <v>0.72713010445490323</v>
      </c>
      <c r="F12" s="39">
        <v>0.72214354241860046</v>
      </c>
      <c r="G12" s="39">
        <v>0.4434427932487075</v>
      </c>
      <c r="H12" s="39">
        <v>0.72950297983139323</v>
      </c>
      <c r="I12" s="39">
        <v>6.0170969886917287E-2</v>
      </c>
      <c r="J12" s="49"/>
    </row>
    <row r="13" spans="1:10" x14ac:dyDescent="0.2">
      <c r="A13" s="58" t="s">
        <v>480</v>
      </c>
      <c r="B13" s="13">
        <v>0.8978322529374998</v>
      </c>
      <c r="C13" s="13">
        <v>0.97467702006250012</v>
      </c>
      <c r="D13" s="13">
        <v>4.2638556196874999</v>
      </c>
      <c r="E13" s="13">
        <v>5.9488081453749997</v>
      </c>
      <c r="F13" s="13">
        <v>5.8439803453124997</v>
      </c>
      <c r="G13" s="13">
        <v>2.125847254875</v>
      </c>
      <c r="H13" s="13">
        <v>6.0979391405625005</v>
      </c>
      <c r="I13" s="13">
        <v>0.90312092456249993</v>
      </c>
      <c r="J13" s="46">
        <f>SUM(J3:J12)</f>
        <v>60</v>
      </c>
    </row>
    <row r="14" spans="1:10" x14ac:dyDescent="0.2">
      <c r="A14" s="57"/>
      <c r="B14" s="14">
        <v>2.6121064298284341E-2</v>
      </c>
      <c r="C14" s="14">
        <v>1.6596927108305095E-2</v>
      </c>
      <c r="D14" s="14">
        <v>0.25582085103085911</v>
      </c>
      <c r="E14" s="14">
        <v>0.3699982976794276</v>
      </c>
      <c r="F14" s="14">
        <v>0.33884929475622821</v>
      </c>
      <c r="G14" s="14">
        <v>0.83605754588404724</v>
      </c>
      <c r="H14" s="14">
        <v>0.38954746194598344</v>
      </c>
      <c r="I14" s="14">
        <v>2.6014957396222772E-2</v>
      </c>
      <c r="J14" s="47"/>
    </row>
    <row r="15" spans="1:10" x14ac:dyDescent="0.2">
      <c r="J15" s="41"/>
    </row>
    <row r="18" spans="1:10" x14ac:dyDescent="0.2">
      <c r="A18" s="45" t="s">
        <v>482</v>
      </c>
      <c r="B18" s="45"/>
      <c r="C18" s="45"/>
      <c r="D18" s="45"/>
      <c r="E18" s="45"/>
      <c r="F18" s="45"/>
      <c r="G18" s="45"/>
      <c r="H18" s="45"/>
      <c r="I18" s="45"/>
      <c r="J18" s="45"/>
    </row>
    <row r="19" spans="1:10" x14ac:dyDescent="0.2">
      <c r="A19" s="29" t="s">
        <v>488</v>
      </c>
      <c r="B19" s="30" t="s">
        <v>1</v>
      </c>
      <c r="C19" s="30" t="s">
        <v>2</v>
      </c>
      <c r="D19" s="30" t="s">
        <v>13</v>
      </c>
      <c r="E19" s="31" t="s">
        <v>14</v>
      </c>
      <c r="F19" s="30" t="s">
        <v>15</v>
      </c>
      <c r="G19" s="30" t="s">
        <v>17</v>
      </c>
      <c r="H19" s="30" t="s">
        <v>6</v>
      </c>
      <c r="I19" s="32" t="s">
        <v>3</v>
      </c>
      <c r="J19" s="33" t="s">
        <v>481</v>
      </c>
    </row>
    <row r="20" spans="1:10" x14ac:dyDescent="0.2">
      <c r="A20" s="56" t="s">
        <v>478</v>
      </c>
      <c r="B20" s="38">
        <v>0.83741332979134453</v>
      </c>
      <c r="C20" s="38">
        <v>0.74857298097039693</v>
      </c>
      <c r="D20" s="38">
        <v>5.2547796035532519</v>
      </c>
      <c r="E20" s="38">
        <v>7.1532700832833855</v>
      </c>
      <c r="F20" s="38">
        <v>6.9362139898813151</v>
      </c>
      <c r="G20" s="38">
        <v>2.2376212534723674</v>
      </c>
      <c r="H20" s="38">
        <v>7.5242657617205042</v>
      </c>
      <c r="I20" s="38">
        <v>0.85617278414981313</v>
      </c>
      <c r="J20" s="46">
        <v>13</v>
      </c>
    </row>
    <row r="21" spans="1:10" x14ac:dyDescent="0.2">
      <c r="A21" s="57"/>
      <c r="B21" s="39">
        <v>4.5182423220763004E-2</v>
      </c>
      <c r="C21" s="39">
        <v>4.9161676700410877E-2</v>
      </c>
      <c r="D21" s="39">
        <v>0.77731631751147479</v>
      </c>
      <c r="E21" s="39">
        <v>0.89340290567677494</v>
      </c>
      <c r="F21" s="39">
        <v>0.85483119984246647</v>
      </c>
      <c r="G21" s="39">
        <v>1.1664837636746068</v>
      </c>
      <c r="H21" s="39">
        <v>1.0227831977400199</v>
      </c>
      <c r="I21" s="39">
        <v>3.8616023769295377E-2</v>
      </c>
      <c r="J21" s="47"/>
    </row>
    <row r="22" spans="1:10" x14ac:dyDescent="0.2">
      <c r="A22" s="58" t="s">
        <v>479</v>
      </c>
      <c r="B22" s="38">
        <v>0.86982367437109009</v>
      </c>
      <c r="C22" s="38">
        <v>0.74410609361684221</v>
      </c>
      <c r="D22" s="38">
        <v>5.0713583120949499</v>
      </c>
      <c r="E22" s="38">
        <v>6.9898792530325267</v>
      </c>
      <c r="F22" s="38">
        <v>6.6900292505700607</v>
      </c>
      <c r="G22" s="38">
        <v>2.4160215869203236</v>
      </c>
      <c r="H22" s="38">
        <v>7.2523941669196166</v>
      </c>
      <c r="I22" s="38">
        <v>0.88052335498050704</v>
      </c>
      <c r="J22" s="48">
        <v>11</v>
      </c>
    </row>
    <row r="23" spans="1:10" x14ac:dyDescent="0.2">
      <c r="A23" s="57"/>
      <c r="B23" s="39">
        <v>3.2876113924870574E-2</v>
      </c>
      <c r="C23" s="39">
        <v>4.8819808690713569E-2</v>
      </c>
      <c r="D23" s="39">
        <v>0.60547585429130912</v>
      </c>
      <c r="E23" s="39">
        <v>0.76128717213343466</v>
      </c>
      <c r="F23" s="39">
        <v>0.61773041798978567</v>
      </c>
      <c r="G23" s="39">
        <v>0.41981433703637849</v>
      </c>
      <c r="H23" s="39">
        <v>0.8246626629301218</v>
      </c>
      <c r="I23" s="39">
        <v>3.1425090393880917E-2</v>
      </c>
      <c r="J23" s="49"/>
    </row>
    <row r="24" spans="1:10" x14ac:dyDescent="0.2">
      <c r="A24" s="58" t="s">
        <v>477</v>
      </c>
      <c r="B24" s="38">
        <v>0.84531020451493488</v>
      </c>
      <c r="C24" s="38">
        <v>0.74857298097039693</v>
      </c>
      <c r="D24" s="38">
        <v>5.2005588444285307</v>
      </c>
      <c r="E24" s="38">
        <v>7.117905667245557</v>
      </c>
      <c r="F24" s="38">
        <v>6.8088672866352793</v>
      </c>
      <c r="G24" s="38">
        <v>2.639443714521915</v>
      </c>
      <c r="H24" s="38">
        <v>7.380635940344388</v>
      </c>
      <c r="I24" s="38">
        <v>0.85876758353436811</v>
      </c>
      <c r="J24" s="50">
        <v>30</v>
      </c>
    </row>
    <row r="25" spans="1:10" x14ac:dyDescent="0.2">
      <c r="A25" s="57"/>
      <c r="B25" s="39">
        <v>5.1329808615247705E-2</v>
      </c>
      <c r="C25" s="39">
        <v>4.9161676700410877E-2</v>
      </c>
      <c r="D25" s="39">
        <v>0.90016420634643124</v>
      </c>
      <c r="E25" s="39">
        <v>1.0127939360547853</v>
      </c>
      <c r="F25" s="39">
        <v>0.97528656621747523</v>
      </c>
      <c r="G25" s="39">
        <v>0.94812069675402799</v>
      </c>
      <c r="H25" s="39">
        <v>1.0996293594483713</v>
      </c>
      <c r="I25" s="39">
        <v>4.55409321759341E-2</v>
      </c>
      <c r="J25" s="49"/>
    </row>
    <row r="26" spans="1:10" x14ac:dyDescent="0.2">
      <c r="A26" s="58" t="s">
        <v>476</v>
      </c>
      <c r="B26" s="40">
        <v>0.85470600011401898</v>
      </c>
      <c r="C26" s="40">
        <v>0.79295510423119797</v>
      </c>
      <c r="D26" s="40">
        <v>5.4806048306234807</v>
      </c>
      <c r="E26" s="40">
        <v>7.4354785284642686</v>
      </c>
      <c r="F26" s="40">
        <v>6.9637531560795365</v>
      </c>
      <c r="G26" s="40">
        <v>1.9199322657570395</v>
      </c>
      <c r="H26" s="40">
        <v>7.8402377932396572</v>
      </c>
      <c r="I26" s="40">
        <v>0.87438138518557884</v>
      </c>
      <c r="J26" s="50">
        <v>6</v>
      </c>
    </row>
    <row r="27" spans="1:10" x14ac:dyDescent="0.2">
      <c r="A27" s="57"/>
      <c r="B27" s="39">
        <v>3.6275422879358747E-2</v>
      </c>
      <c r="C27" s="39">
        <v>2.6629838665740979E-2</v>
      </c>
      <c r="D27" s="39">
        <v>0.51908433417970845</v>
      </c>
      <c r="E27" s="39">
        <v>0.75053358360379474</v>
      </c>
      <c r="F27" s="39">
        <v>0.7468297459008657</v>
      </c>
      <c r="G27" s="39">
        <v>0.68737557281482431</v>
      </c>
      <c r="H27" s="39">
        <v>0.94749821488537556</v>
      </c>
      <c r="I27" s="39">
        <v>2.0657216260962376E-2</v>
      </c>
      <c r="J27" s="49"/>
    </row>
    <row r="28" spans="1:10" x14ac:dyDescent="0.2">
      <c r="A28" s="58" t="s">
        <v>480</v>
      </c>
      <c r="B28" s="13">
        <v>0.8978322529374998</v>
      </c>
      <c r="C28" s="13">
        <v>0.97467702006250012</v>
      </c>
      <c r="D28" s="13">
        <v>4.2638556196874999</v>
      </c>
      <c r="E28" s="13">
        <v>5.9488081453749997</v>
      </c>
      <c r="F28" s="13">
        <v>5.8439803453124997</v>
      </c>
      <c r="G28" s="13">
        <v>2.125847254875</v>
      </c>
      <c r="H28" s="13">
        <v>6.0979391405625005</v>
      </c>
      <c r="I28" s="13">
        <v>0.90312092456249993</v>
      </c>
      <c r="J28" s="46">
        <f>SUM(J20:J27)</f>
        <v>60</v>
      </c>
    </row>
    <row r="29" spans="1:10" x14ac:dyDescent="0.2">
      <c r="A29" s="57"/>
      <c r="B29" s="14">
        <v>2.6121064298284341E-2</v>
      </c>
      <c r="C29" s="14">
        <v>1.6596927108305095E-2</v>
      </c>
      <c r="D29" s="14">
        <v>0.25582085103085911</v>
      </c>
      <c r="E29" s="14">
        <v>0.3699982976794276</v>
      </c>
      <c r="F29" s="14">
        <v>0.33884929475622821</v>
      </c>
      <c r="G29" s="14">
        <v>0.83605754588404724</v>
      </c>
      <c r="H29" s="14">
        <v>0.38954746194598344</v>
      </c>
      <c r="I29" s="14">
        <v>2.6014957396222772E-2</v>
      </c>
      <c r="J29" s="47"/>
    </row>
  </sheetData>
  <mergeCells count="24">
    <mergeCell ref="A26:A27"/>
    <mergeCell ref="J26:J27"/>
    <mergeCell ref="A28:A29"/>
    <mergeCell ref="J28:J29"/>
    <mergeCell ref="A22:A23"/>
    <mergeCell ref="J22:J23"/>
    <mergeCell ref="A24:A25"/>
    <mergeCell ref="J7:J8"/>
    <mergeCell ref="A9:A10"/>
    <mergeCell ref="J9:J10"/>
    <mergeCell ref="A11:A12"/>
    <mergeCell ref="J11:J12"/>
    <mergeCell ref="A7:A8"/>
    <mergeCell ref="A13:A14"/>
    <mergeCell ref="J13:J14"/>
    <mergeCell ref="A18:J18"/>
    <mergeCell ref="A20:A21"/>
    <mergeCell ref="J20:J21"/>
    <mergeCell ref="J24:J25"/>
    <mergeCell ref="A1:J1"/>
    <mergeCell ref="A3:A4"/>
    <mergeCell ref="J3:J4"/>
    <mergeCell ref="A5:A6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Statistics</vt:lpstr>
      <vt:lpstr>Training Load</vt:lpstr>
      <vt:lpstr>Permutation Importance</vt:lpstr>
      <vt:lpstr>Descriptor Performance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Caetano</dc:creator>
  <cp:lastModifiedBy>J Caetano</cp:lastModifiedBy>
  <dcterms:created xsi:type="dcterms:W3CDTF">2023-07-20T23:11:20Z</dcterms:created>
  <dcterms:modified xsi:type="dcterms:W3CDTF">2023-11-08T16:04:46Z</dcterms:modified>
</cp:coreProperties>
</file>